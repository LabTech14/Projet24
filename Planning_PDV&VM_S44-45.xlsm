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tchaneyou\Desktop\Plannings\1010\pdv\"/>
    </mc:Choice>
  </mc:AlternateContent>
  <bookViews>
    <workbookView xWindow="0" yWindow="0" windowWidth="28800" windowHeight="12030" activeTab="2"/>
  </bookViews>
  <sheets>
    <sheet name="Prévisions" sheetId="1" r:id="rId1"/>
    <sheet name="Planning-" sheetId="2" state="hidden" r:id="rId2"/>
    <sheet name="Planning" sheetId="3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Année_" localSheetId="2">[5]Offday!$AW$2:$AW$8</definedName>
    <definedName name="Année_">[1]Offday!$AW$2:$AW$8</definedName>
    <definedName name="contraintes" localSheetId="0">[2]!Tableau1[contriantes]</definedName>
    <definedName name="contraintes">[2]!Tableau1[contriantes]</definedName>
    <definedName name="contraintes_119" localSheetId="0">[2]!Tableau16[contriantes]</definedName>
    <definedName name="contraintes_119">[2]!Tableau16[contriantes]</definedName>
    <definedName name="contraintes_888" localSheetId="0">[2]!Tableau1[contriantes]</definedName>
    <definedName name="contraintes_888">[2]!Tableau1[contriantes]</definedName>
    <definedName name="Global_Tab">[3]!Tableau163[contriantes_8845]</definedName>
    <definedName name="Mois_" localSheetId="2">[5]Offday!$AV$2:$AV$13</definedName>
    <definedName name="Mois_">[1]Offday!$AV$2:$AV$13</definedName>
    <definedName name="RESUME">[3]!Tableau10[#Data]</definedName>
    <definedName name="Saison_">[3]!Tableau8[saison]</definedName>
    <definedName name="Settings_Holidays">OFFSET([4]Settings!$D$1,1,0,COUNTA([4]Settings!$D:$D)-1,1)</definedName>
    <definedName name="Settings_Month_list">[4]Settings!$A$2:$A$13</definedName>
    <definedName name="Settings_Shift" localSheetId="2">OFFSET([4]Settings!$G$1,1,MATCH(Planning!$E1,[4]Settings!$G$1:$Z$1,0)-1,COUNTA(OFFSET([4]Settings!$G$1,1,MATCH(Planning!$E1,[4]Settings!$G$1:$Z$1,0)-1,100,1)),1)</definedName>
    <definedName name="Settings_Shift">OFFSET([4]Settings!$G$1,1,MATCH('Planning-'!$E1,[4]Settings!$G$1:$Z$1,0)-1,COUNTA(OFFSET([4]Settings!$G$1,1,MATCH('Planning-'!$E1,[4]Settings!$G$1:$Z$1,0)-1,100,1)),1)</definedName>
    <definedName name="Settings_Shift_A">OFFSET([4]Settings!$H$1,1,0,COUNTA([4]Settings!$H:$H)-1,1)</definedName>
    <definedName name="Settings_ShiftLegends">OFFSET([4]Settings!$G$1,1,0,COUNTA([4]Settings!$G:$G)-1,1)</definedName>
    <definedName name="Settings_Weekdays">OFFSET([4]Settings!$C$1,1,0,COUNTA([4]Settings!$C:$C)-1,1)</definedName>
    <definedName name="Settings_YearList">OFFSET([4]Settings!$B$1,1,0,COUNTA([4]Settings!$B:$B)-1,1)</definedName>
    <definedName name="Shift_G">OFFSET([4]Settings!$N$1,1,0,COUNTA([4]Settings!$N:$N)-1,1)</definedName>
    <definedName name="Shift_H">OFFSET([4]Settings!$O$1,1,0,COUNTA([4]Settings!$O:$O)-1,1)</definedName>
    <definedName name="Shift_I">OFFSET([4]Settings!$P$1,1,0,COUNTA([4]Settings!$P:$P)-1,1)</definedName>
    <definedName name="Shift_J" localSheetId="2">SDECALER([4]Settings!$Q$1,1,0,COUNTA([4]Settings!$Q:$Q)-1,1)</definedName>
    <definedName name="Shift_J">SDECALER([4]Settings!$Q$1,1,0,COUNTA([4]Settings!$Q:$Q)-1,1)</definedName>
    <definedName name="Shift_K">OFFSET([4]Settings!$R$1,1,0,COUNTA([4]Settings!$R:$R)-1,1)</definedName>
    <definedName name="Shift_L">OFFSET([4]Settings!$S$1,1,0,COUNTA([4]Settings!$S:$S)-1,1)</definedName>
    <definedName name="Shift_M">OFFSET([4]Settings!$T$1,1,0,COUNTA([4]Settings!$T:$T)-1,1)</definedName>
    <definedName name="Shift_N">OFFSET([4]Settings!$U$1,1,0,COUNTA([4]Settings!$U:$U)-1,1)</definedName>
    <definedName name="Shift_O">OFFSET([4]Settings!$V$1,1,0,COUNTA([4]Settings!$V:$V)-1,1)</definedName>
    <definedName name="Shift_P">OFFSET([4]Settings!$W$1,1,0,COUNTA([4]Settings!$W:$W)-1,1)</definedName>
    <definedName name="Shift_Q">OFFSET([4]Settings!$X$1,1,0,COUNTA([4]Settings!$X:$X)-1,1)</definedName>
    <definedName name="Shift_R">OFFSET([4]Settings!$Y$1,1,0,COUNTA([4]Settings!$Y:$Y)-1,1)</definedName>
    <definedName name="Shift_S">OFFSET([4]Settings!$Z$1,1,0,COUNTA([4]Settings!$Z:$Z)-1,1)</definedName>
    <definedName name="Sittings_Days_accro">OFFSET([4]Settings!$F$1,1,0,COUNTA([4]Settings!$F:$F)-1,1)</definedName>
    <definedName name="Sittings_Shift_B">OFFSET([4]Settings!$I$1,1,0,COUNTA([4]Settings!$I:$I)-1,1)</definedName>
    <definedName name="Sittings_Shift_C">OFFSET([4]Settings!$J$1,1,0,COUNTA([4]Settings!$J:$J)-1,1)</definedName>
    <definedName name="Sittings_Shift_D">OFFSET([4]Settings!$K$1,1,0,COUNTA([4]Settings!$K:$K)-1,1)</definedName>
    <definedName name="Sittings_Shift_E">OFFSET([4]Settings!$L$1,1,0,COUNTA([4]Settings!$L:$L)-1,1)</definedName>
    <definedName name="Sittings_Shift_F">OFFSET([4]Settings!$M$1,1,0,COUNTA([4]Settings!$M:$M)-1,1)</definedName>
    <definedName name="Tab_119" localSheetId="0">[2]!Tableau16[#Data]</definedName>
    <definedName name="Tab_119">[2]!Tableau16[#Data]</definedName>
    <definedName name="Tab_8845" localSheetId="0">[2]!Tableau1[#Data]</definedName>
    <definedName name="Tab_8845">[2]!Tableau1[#Data]</definedName>
    <definedName name="Tab_888" localSheetId="0">[2]!Tableau15[#Data]</definedName>
    <definedName name="Tab_888">[2]!Tableau15[#Data]</definedName>
    <definedName name="Tab_flux_119" localSheetId="0">[2]!Tableau3[#Data]</definedName>
    <definedName name="Tab_flux_119">[3]!Tableau3[#Data]</definedName>
    <definedName name="Tab_flux_888" localSheetId="0">[2]!Tableau37[#Data]</definedName>
    <definedName name="Tab_flux_888">[3]!Tableau37[#Data]</definedName>
    <definedName name="Tab_Global">[3]!Tableau163[#Data]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66" i="3" l="1"/>
  <c r="AJ66" i="3"/>
  <c r="AI66" i="3"/>
  <c r="AH66" i="3"/>
  <c r="AG66" i="3"/>
  <c r="AF66" i="3"/>
  <c r="AE66" i="3"/>
  <c r="AD66" i="3"/>
  <c r="AC66" i="3"/>
  <c r="AB66" i="3"/>
  <c r="AA66" i="3"/>
  <c r="Z66" i="3"/>
  <c r="Y66" i="3"/>
  <c r="X66" i="3"/>
  <c r="W66" i="3"/>
  <c r="V66" i="3"/>
  <c r="U66" i="3"/>
  <c r="T66" i="3"/>
  <c r="S66" i="3"/>
  <c r="R66" i="3"/>
  <c r="Q66" i="3"/>
  <c r="P66" i="3"/>
  <c r="O66" i="3"/>
  <c r="N66" i="3"/>
  <c r="M66" i="3"/>
  <c r="L66" i="3"/>
  <c r="K66" i="3"/>
  <c r="J66" i="3"/>
  <c r="I66" i="3"/>
  <c r="H66" i="3"/>
  <c r="G66" i="3"/>
  <c r="F38" i="3"/>
  <c r="E38" i="3"/>
  <c r="D38" i="3"/>
  <c r="C38" i="3"/>
  <c r="B38" i="3"/>
  <c r="F37" i="3"/>
  <c r="E37" i="3"/>
  <c r="D37" i="3"/>
  <c r="C37" i="3"/>
  <c r="B37" i="3"/>
  <c r="F36" i="3"/>
  <c r="E36" i="3"/>
  <c r="D36" i="3"/>
  <c r="C36" i="3"/>
  <c r="B36" i="3"/>
  <c r="F35" i="3"/>
  <c r="E35" i="3"/>
  <c r="D35" i="3"/>
  <c r="C35" i="3"/>
  <c r="B35" i="3"/>
  <c r="F34" i="3"/>
  <c r="E34" i="3"/>
  <c r="D34" i="3"/>
  <c r="C34" i="3"/>
  <c r="B34" i="3"/>
  <c r="F33" i="3"/>
  <c r="E33" i="3"/>
  <c r="D33" i="3"/>
  <c r="C33" i="3"/>
  <c r="B33" i="3"/>
  <c r="F32" i="3"/>
  <c r="E32" i="3"/>
  <c r="D32" i="3"/>
  <c r="C32" i="3"/>
  <c r="B32" i="3"/>
  <c r="F31" i="3"/>
  <c r="E31" i="3"/>
  <c r="D31" i="3"/>
  <c r="C31" i="3"/>
  <c r="B31" i="3"/>
  <c r="G30" i="3"/>
  <c r="F30" i="3"/>
  <c r="E30" i="3"/>
  <c r="D30" i="3"/>
  <c r="C30" i="3"/>
  <c r="B30" i="3"/>
  <c r="F29" i="3"/>
  <c r="E29" i="3"/>
  <c r="D29" i="3"/>
  <c r="C29" i="3"/>
  <c r="B29" i="3"/>
  <c r="G28" i="3"/>
  <c r="F28" i="3"/>
  <c r="E28" i="3"/>
  <c r="D28" i="3"/>
  <c r="C28" i="3"/>
  <c r="B28" i="3"/>
  <c r="F27" i="3"/>
  <c r="E27" i="3"/>
  <c r="D27" i="3"/>
  <c r="C27" i="3"/>
  <c r="B27" i="3"/>
  <c r="F26" i="3"/>
  <c r="E26" i="3"/>
  <c r="D26" i="3"/>
  <c r="C26" i="3"/>
  <c r="B26" i="3"/>
  <c r="F25" i="3"/>
  <c r="E25" i="3"/>
  <c r="D25" i="3"/>
  <c r="C25" i="3"/>
  <c r="B25" i="3"/>
  <c r="G24" i="3"/>
  <c r="F24" i="3"/>
  <c r="E24" i="3"/>
  <c r="D24" i="3"/>
  <c r="C24" i="3"/>
  <c r="B24" i="3"/>
  <c r="G23" i="3"/>
  <c r="G34" i="3" s="1"/>
  <c r="R20" i="3"/>
  <c r="G17" i="3"/>
  <c r="L15" i="3"/>
  <c r="Z15" i="3" s="1"/>
  <c r="Y14" i="3"/>
  <c r="K14" i="3"/>
  <c r="G14" i="3"/>
  <c r="U14" i="3" s="1"/>
  <c r="A13" i="3"/>
  <c r="V69" i="3" l="1"/>
  <c r="G38" i="3"/>
  <c r="G37" i="3"/>
  <c r="G35" i="3"/>
  <c r="G31" i="3"/>
  <c r="G25" i="3"/>
  <c r="G60" i="3" s="1"/>
  <c r="G36" i="3"/>
  <c r="G32" i="3"/>
  <c r="G26" i="3"/>
  <c r="G21" i="3"/>
  <c r="G33" i="3"/>
  <c r="G29" i="3"/>
  <c r="G27" i="3"/>
  <c r="G22" i="3"/>
  <c r="J69" i="3"/>
  <c r="Z20" i="3"/>
  <c r="H23" i="3" s="1"/>
  <c r="M14" i="3"/>
  <c r="AK69" i="3"/>
  <c r="AG69" i="3"/>
  <c r="AC69" i="3"/>
  <c r="Y69" i="3"/>
  <c r="U69" i="3"/>
  <c r="Q69" i="3"/>
  <c r="M69" i="3"/>
  <c r="I69" i="3"/>
  <c r="AJ69" i="3"/>
  <c r="AF69" i="3"/>
  <c r="AB69" i="3"/>
  <c r="X69" i="3"/>
  <c r="T69" i="3"/>
  <c r="P69" i="3"/>
  <c r="L69" i="3"/>
  <c r="H69" i="3"/>
  <c r="AI69" i="3"/>
  <c r="AE69" i="3"/>
  <c r="AA69" i="3"/>
  <c r="W69" i="3"/>
  <c r="S69" i="3"/>
  <c r="O69" i="3"/>
  <c r="K69" i="3"/>
  <c r="G69" i="3"/>
  <c r="AH69" i="3"/>
  <c r="R69" i="3"/>
  <c r="AD69" i="3"/>
  <c r="N69" i="3"/>
  <c r="Z69" i="3"/>
  <c r="AK63" i="2"/>
  <c r="AJ63" i="2"/>
  <c r="AI63" i="2"/>
  <c r="AH63" i="2"/>
  <c r="AG63" i="2"/>
  <c r="AF63" i="2"/>
  <c r="AE63" i="2"/>
  <c r="AD63" i="2"/>
  <c r="AC63" i="2"/>
  <c r="AB63" i="2"/>
  <c r="AA63" i="2"/>
  <c r="Z63" i="2"/>
  <c r="Y63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36" i="2"/>
  <c r="E36" i="2"/>
  <c r="D36" i="2"/>
  <c r="C36" i="2"/>
  <c r="B36" i="2"/>
  <c r="F35" i="2"/>
  <c r="E35" i="2"/>
  <c r="D35" i="2"/>
  <c r="C35" i="2"/>
  <c r="B35" i="2"/>
  <c r="F34" i="2"/>
  <c r="E34" i="2"/>
  <c r="D34" i="2"/>
  <c r="C34" i="2"/>
  <c r="B34" i="2"/>
  <c r="F33" i="2"/>
  <c r="E33" i="2"/>
  <c r="D33" i="2"/>
  <c r="C33" i="2"/>
  <c r="B33" i="2"/>
  <c r="F32" i="2"/>
  <c r="E32" i="2"/>
  <c r="D32" i="2"/>
  <c r="C32" i="2"/>
  <c r="B32" i="2"/>
  <c r="F31" i="2"/>
  <c r="E31" i="2"/>
  <c r="D31" i="2"/>
  <c r="C31" i="2"/>
  <c r="B31" i="2"/>
  <c r="F30" i="2"/>
  <c r="E30" i="2"/>
  <c r="D30" i="2"/>
  <c r="C30" i="2"/>
  <c r="B30" i="2"/>
  <c r="F29" i="2"/>
  <c r="E29" i="2"/>
  <c r="D29" i="2"/>
  <c r="C29" i="2"/>
  <c r="B29" i="2"/>
  <c r="F28" i="2"/>
  <c r="E28" i="2"/>
  <c r="D28" i="2"/>
  <c r="C28" i="2"/>
  <c r="B28" i="2"/>
  <c r="F27" i="2"/>
  <c r="E27" i="2"/>
  <c r="D27" i="2"/>
  <c r="C27" i="2"/>
  <c r="B27" i="2"/>
  <c r="F26" i="2"/>
  <c r="E26" i="2"/>
  <c r="D26" i="2"/>
  <c r="C26" i="2"/>
  <c r="B26" i="2"/>
  <c r="F25" i="2"/>
  <c r="E25" i="2"/>
  <c r="D25" i="2"/>
  <c r="C25" i="2"/>
  <c r="B25" i="2"/>
  <c r="F24" i="2"/>
  <c r="E24" i="2"/>
  <c r="D24" i="2"/>
  <c r="C24" i="2"/>
  <c r="B24" i="2"/>
  <c r="AD66" i="2" s="1"/>
  <c r="R20" i="2"/>
  <c r="G23" i="2" s="1"/>
  <c r="G22" i="2" s="1"/>
  <c r="G17" i="2"/>
  <c r="Z15" i="2"/>
  <c r="L15" i="2"/>
  <c r="K14" i="2"/>
  <c r="Y14" i="2" s="1"/>
  <c r="G14" i="2"/>
  <c r="U14" i="2" s="1"/>
  <c r="A13" i="2"/>
  <c r="H38" i="3" l="1"/>
  <c r="H37" i="3"/>
  <c r="I23" i="3"/>
  <c r="H22" i="3"/>
  <c r="H59" i="3" s="1"/>
  <c r="H36" i="3"/>
  <c r="H32" i="3"/>
  <c r="H26" i="3"/>
  <c r="H33" i="3"/>
  <c r="H29" i="3"/>
  <c r="H27" i="3"/>
  <c r="H34" i="3"/>
  <c r="H30" i="3"/>
  <c r="H28" i="3"/>
  <c r="H24" i="3"/>
  <c r="H31" i="3"/>
  <c r="H25" i="3"/>
  <c r="H35" i="3"/>
  <c r="G61" i="3"/>
  <c r="G67" i="3" s="1"/>
  <c r="G68" i="3" s="1"/>
  <c r="G59" i="3"/>
  <c r="G62" i="3"/>
  <c r="AA14" i="3"/>
  <c r="G13" i="3"/>
  <c r="G63" i="3"/>
  <c r="AH66" i="2"/>
  <c r="G56" i="2"/>
  <c r="G36" i="2"/>
  <c r="G32" i="2"/>
  <c r="G29" i="2"/>
  <c r="G28" i="2"/>
  <c r="G27" i="2"/>
  <c r="G26" i="2"/>
  <c r="G25" i="2"/>
  <c r="G24" i="2"/>
  <c r="G21" i="2"/>
  <c r="G33" i="2"/>
  <c r="Q66" i="2"/>
  <c r="Z66" i="2"/>
  <c r="M14" i="2"/>
  <c r="G30" i="2"/>
  <c r="G34" i="2"/>
  <c r="N66" i="2"/>
  <c r="Z20" i="2"/>
  <c r="H23" i="2" s="1"/>
  <c r="G31" i="2"/>
  <c r="G35" i="2"/>
  <c r="Y66" i="2"/>
  <c r="I66" i="2"/>
  <c r="R66" i="2"/>
  <c r="AJ66" i="2"/>
  <c r="AF66" i="2"/>
  <c r="AB66" i="2"/>
  <c r="X66" i="2"/>
  <c r="T66" i="2"/>
  <c r="P66" i="2"/>
  <c r="L66" i="2"/>
  <c r="H66" i="2"/>
  <c r="AI66" i="2"/>
  <c r="AE66" i="2"/>
  <c r="AA66" i="2"/>
  <c r="W66" i="2"/>
  <c r="S66" i="2"/>
  <c r="O66" i="2"/>
  <c r="K66" i="2"/>
  <c r="G66" i="2"/>
  <c r="AK66" i="2"/>
  <c r="AC66" i="2"/>
  <c r="U66" i="2"/>
  <c r="M66" i="2"/>
  <c r="J66" i="2"/>
  <c r="V66" i="2"/>
  <c r="AG66" i="2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E33" i="1"/>
  <c r="G7" i="1"/>
  <c r="H7" i="1"/>
  <c r="I7" i="1" s="1"/>
  <c r="J7" i="1" s="1"/>
  <c r="K7" i="1" s="1"/>
  <c r="L7" i="1" s="1"/>
  <c r="M7" i="1" s="1"/>
  <c r="N7" i="1" s="1"/>
  <c r="O7" i="1" s="1"/>
  <c r="P7" i="1" s="1"/>
  <c r="Q7" i="1" s="1"/>
  <c r="R7" i="1" s="1"/>
  <c r="F7" i="1"/>
  <c r="E7" i="1"/>
  <c r="I38" i="3" l="1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J23" i="3"/>
  <c r="I22" i="3"/>
  <c r="I59" i="3" s="1"/>
  <c r="U13" i="3"/>
  <c r="H62" i="3"/>
  <c r="H63" i="3"/>
  <c r="H60" i="3"/>
  <c r="H67" i="3" s="1"/>
  <c r="H68" i="3" s="1"/>
  <c r="H61" i="3"/>
  <c r="H36" i="2"/>
  <c r="H35" i="2"/>
  <c r="H34" i="2"/>
  <c r="H33" i="2"/>
  <c r="H32" i="2"/>
  <c r="H31" i="2"/>
  <c r="H30" i="2"/>
  <c r="H26" i="2"/>
  <c r="H28" i="2"/>
  <c r="H24" i="2"/>
  <c r="H29" i="2"/>
  <c r="H27" i="2"/>
  <c r="H22" i="2"/>
  <c r="I23" i="2"/>
  <c r="H25" i="2"/>
  <c r="G59" i="2"/>
  <c r="G60" i="2"/>
  <c r="G58" i="2"/>
  <c r="G57" i="2"/>
  <c r="G64" i="2" s="1"/>
  <c r="G65" i="2" s="1"/>
  <c r="AA14" i="2"/>
  <c r="G13" i="2"/>
  <c r="J38" i="3" l="1"/>
  <c r="J37" i="3"/>
  <c r="J36" i="3"/>
  <c r="J35" i="3"/>
  <c r="J34" i="3"/>
  <c r="J33" i="3"/>
  <c r="J32" i="3"/>
  <c r="J31" i="3"/>
  <c r="J30" i="3"/>
  <c r="J29" i="3"/>
  <c r="J27" i="3"/>
  <c r="K23" i="3"/>
  <c r="J22" i="3"/>
  <c r="J28" i="3"/>
  <c r="J24" i="3"/>
  <c r="J25" i="3"/>
  <c r="J26" i="3"/>
  <c r="I63" i="3"/>
  <c r="I60" i="3"/>
  <c r="I67" i="3" s="1"/>
  <c r="I68" i="3" s="1"/>
  <c r="I61" i="3"/>
  <c r="I62" i="3"/>
  <c r="U13" i="2"/>
  <c r="I36" i="2"/>
  <c r="I35" i="2"/>
  <c r="I33" i="2"/>
  <c r="I22" i="2"/>
  <c r="I56" i="2" s="1"/>
  <c r="I34" i="2"/>
  <c r="I30" i="2"/>
  <c r="J23" i="2"/>
  <c r="I27" i="2"/>
  <c r="I31" i="2"/>
  <c r="I26" i="2"/>
  <c r="I32" i="2"/>
  <c r="I28" i="2"/>
  <c r="I24" i="2"/>
  <c r="I29" i="2"/>
  <c r="I25" i="2"/>
  <c r="H60" i="2"/>
  <c r="H57" i="2"/>
  <c r="H59" i="2"/>
  <c r="H58" i="2"/>
  <c r="H56" i="2"/>
  <c r="J59" i="3" l="1"/>
  <c r="K38" i="3"/>
  <c r="K33" i="3"/>
  <c r="K29" i="3"/>
  <c r="K28" i="3"/>
  <c r="K24" i="3"/>
  <c r="K34" i="3"/>
  <c r="K30" i="3"/>
  <c r="K25" i="3"/>
  <c r="K35" i="3"/>
  <c r="K31" i="3"/>
  <c r="K26" i="3"/>
  <c r="K22" i="3"/>
  <c r="K59" i="3" s="1"/>
  <c r="K37" i="3"/>
  <c r="K36" i="3"/>
  <c r="K27" i="3"/>
  <c r="K32" i="3"/>
  <c r="L23" i="3"/>
  <c r="J60" i="3"/>
  <c r="J67" i="3" s="1"/>
  <c r="J68" i="3" s="1"/>
  <c r="J61" i="3"/>
  <c r="J62" i="3"/>
  <c r="J63" i="3"/>
  <c r="J36" i="2"/>
  <c r="J34" i="2"/>
  <c r="J30" i="2"/>
  <c r="K23" i="2"/>
  <c r="J22" i="2"/>
  <c r="J25" i="2"/>
  <c r="J35" i="2"/>
  <c r="J31" i="2"/>
  <c r="J29" i="2"/>
  <c r="J28" i="2"/>
  <c r="J27" i="2"/>
  <c r="J26" i="2"/>
  <c r="J24" i="2"/>
  <c r="J32" i="2"/>
  <c r="J33" i="2"/>
  <c r="H64" i="2"/>
  <c r="H65" i="2" s="1"/>
  <c r="I57" i="2"/>
  <c r="I58" i="2"/>
  <c r="I60" i="2"/>
  <c r="I59" i="2"/>
  <c r="L38" i="3" l="1"/>
  <c r="L37" i="3"/>
  <c r="M23" i="3"/>
  <c r="L22" i="3"/>
  <c r="L59" i="3" s="1"/>
  <c r="L34" i="3"/>
  <c r="L30" i="3"/>
  <c r="L25" i="3"/>
  <c r="L35" i="3"/>
  <c r="L31" i="3"/>
  <c r="L26" i="3"/>
  <c r="L36" i="3"/>
  <c r="L32" i="3"/>
  <c r="L27" i="3"/>
  <c r="L29" i="3"/>
  <c r="L24" i="3"/>
  <c r="L33" i="3"/>
  <c r="L28" i="3"/>
  <c r="K61" i="3"/>
  <c r="K62" i="3"/>
  <c r="K63" i="3"/>
  <c r="K60" i="3"/>
  <c r="K67" i="3" s="1"/>
  <c r="K68" i="3" s="1"/>
  <c r="I64" i="2"/>
  <c r="I65" i="2" s="1"/>
  <c r="J58" i="2"/>
  <c r="J59" i="2"/>
  <c r="J57" i="2"/>
  <c r="J64" i="2" s="1"/>
  <c r="J65" i="2" s="1"/>
  <c r="J60" i="2"/>
  <c r="J56" i="2"/>
  <c r="K35" i="2"/>
  <c r="K31" i="2"/>
  <c r="K29" i="2"/>
  <c r="K28" i="2"/>
  <c r="K27" i="2"/>
  <c r="K26" i="2"/>
  <c r="K25" i="2"/>
  <c r="K24" i="2"/>
  <c r="K32" i="2"/>
  <c r="K36" i="2"/>
  <c r="K34" i="2"/>
  <c r="K30" i="2"/>
  <c r="L23" i="2"/>
  <c r="K22" i="2"/>
  <c r="K56" i="2" s="1"/>
  <c r="K33" i="2"/>
  <c r="L62" i="3" l="1"/>
  <c r="L63" i="3"/>
  <c r="L60" i="3"/>
  <c r="L67" i="3" s="1"/>
  <c r="L68" i="3" s="1"/>
  <c r="L61" i="3"/>
  <c r="M38" i="3"/>
  <c r="M37" i="3"/>
  <c r="M36" i="3"/>
  <c r="M35" i="3"/>
  <c r="M34" i="3"/>
  <c r="M33" i="3"/>
  <c r="M32" i="3"/>
  <c r="M31" i="3"/>
  <c r="M30" i="3"/>
  <c r="M29" i="3"/>
  <c r="M28" i="3"/>
  <c r="M27" i="3"/>
  <c r="M26" i="3"/>
  <c r="M25" i="3"/>
  <c r="M24" i="3"/>
  <c r="M22" i="3"/>
  <c r="M59" i="3" s="1"/>
  <c r="N23" i="3"/>
  <c r="L36" i="2"/>
  <c r="L35" i="2"/>
  <c r="L34" i="2"/>
  <c r="L33" i="2"/>
  <c r="L32" i="2"/>
  <c r="L31" i="2"/>
  <c r="L30" i="2"/>
  <c r="L28" i="2"/>
  <c r="L24" i="2"/>
  <c r="M23" i="2"/>
  <c r="L22" i="2"/>
  <c r="L56" i="2" s="1"/>
  <c r="L26" i="2"/>
  <c r="L29" i="2"/>
  <c r="L25" i="2"/>
  <c r="L27" i="2"/>
  <c r="K59" i="2"/>
  <c r="K60" i="2"/>
  <c r="K58" i="2"/>
  <c r="K57" i="2"/>
  <c r="K64" i="2" s="1"/>
  <c r="K65" i="2" s="1"/>
  <c r="N38" i="3" l="1"/>
  <c r="N36" i="3"/>
  <c r="N35" i="3"/>
  <c r="N34" i="3"/>
  <c r="N33" i="3"/>
  <c r="N32" i="3"/>
  <c r="N31" i="3"/>
  <c r="N30" i="3"/>
  <c r="N29" i="3"/>
  <c r="N26" i="3"/>
  <c r="N27" i="3"/>
  <c r="O23" i="3"/>
  <c r="N22" i="3"/>
  <c r="N59" i="3" s="1"/>
  <c r="N21" i="3"/>
  <c r="N37" i="3"/>
  <c r="N28" i="3"/>
  <c r="N24" i="3"/>
  <c r="N25" i="3"/>
  <c r="M63" i="3"/>
  <c r="M60" i="3"/>
  <c r="M61" i="3"/>
  <c r="M62" i="3"/>
  <c r="L60" i="2"/>
  <c r="L57" i="2"/>
  <c r="L58" i="2"/>
  <c r="L59" i="2"/>
  <c r="M36" i="2"/>
  <c r="M35" i="2"/>
  <c r="M32" i="2"/>
  <c r="M22" i="2"/>
  <c r="M33" i="2"/>
  <c r="N23" i="2"/>
  <c r="M34" i="2"/>
  <c r="M30" i="2"/>
  <c r="M29" i="2"/>
  <c r="M25" i="2"/>
  <c r="M26" i="2"/>
  <c r="M31" i="2"/>
  <c r="M27" i="2"/>
  <c r="M28" i="2"/>
  <c r="M24" i="2"/>
  <c r="O37" i="3" l="1"/>
  <c r="O35" i="3"/>
  <c r="O31" i="3"/>
  <c r="O27" i="3"/>
  <c r="P23" i="3"/>
  <c r="O22" i="3"/>
  <c r="O59" i="3" s="1"/>
  <c r="O38" i="3"/>
  <c r="O36" i="3"/>
  <c r="O32" i="3"/>
  <c r="O28" i="3"/>
  <c r="O24" i="3"/>
  <c r="O33" i="3"/>
  <c r="O29" i="3"/>
  <c r="O25" i="3"/>
  <c r="O34" i="3"/>
  <c r="O26" i="3"/>
  <c r="O30" i="3"/>
  <c r="M67" i="3"/>
  <c r="M68" i="3" s="1"/>
  <c r="N60" i="3"/>
  <c r="N67" i="3" s="1"/>
  <c r="N68" i="3" s="1"/>
  <c r="N61" i="3"/>
  <c r="N62" i="3"/>
  <c r="N63" i="3"/>
  <c r="M56" i="2"/>
  <c r="L64" i="2"/>
  <c r="L65" i="2" s="1"/>
  <c r="M57" i="2"/>
  <c r="M58" i="2"/>
  <c r="M60" i="2"/>
  <c r="M59" i="2"/>
  <c r="N35" i="2"/>
  <c r="N33" i="2"/>
  <c r="O23" i="2"/>
  <c r="N22" i="2"/>
  <c r="N56" i="2" s="1"/>
  <c r="N26" i="2"/>
  <c r="N24" i="2"/>
  <c r="N36" i="2"/>
  <c r="N34" i="2"/>
  <c r="N30" i="2"/>
  <c r="N29" i="2"/>
  <c r="N28" i="2"/>
  <c r="N27" i="2"/>
  <c r="N25" i="2"/>
  <c r="N31" i="2"/>
  <c r="N21" i="2"/>
  <c r="N32" i="2"/>
  <c r="O61" i="3" l="1"/>
  <c r="O62" i="3"/>
  <c r="O63" i="3"/>
  <c r="O60" i="3"/>
  <c r="O67" i="3" s="1"/>
  <c r="O68" i="3" s="1"/>
  <c r="P38" i="3"/>
  <c r="P37" i="3"/>
  <c r="Q23" i="3"/>
  <c r="P22" i="3"/>
  <c r="P59" i="3" s="1"/>
  <c r="P36" i="3"/>
  <c r="P32" i="3"/>
  <c r="P28" i="3"/>
  <c r="P24" i="3"/>
  <c r="P33" i="3"/>
  <c r="P29" i="3"/>
  <c r="P25" i="3"/>
  <c r="P34" i="3"/>
  <c r="P30" i="3"/>
  <c r="P26" i="3"/>
  <c r="P31" i="3"/>
  <c r="P27" i="3"/>
  <c r="P35" i="3"/>
  <c r="M64" i="2"/>
  <c r="M65" i="2" s="1"/>
  <c r="O34" i="2"/>
  <c r="O30" i="2"/>
  <c r="O29" i="2"/>
  <c r="O28" i="2"/>
  <c r="O27" i="2"/>
  <c r="O26" i="2"/>
  <c r="O25" i="2"/>
  <c r="O24" i="2"/>
  <c r="O36" i="2"/>
  <c r="O31" i="2"/>
  <c r="O35" i="2"/>
  <c r="O33" i="2"/>
  <c r="O32" i="2"/>
  <c r="P23" i="2"/>
  <c r="O22" i="2"/>
  <c r="O56" i="2" s="1"/>
  <c r="N58" i="2"/>
  <c r="N59" i="2"/>
  <c r="N57" i="2"/>
  <c r="N60" i="2"/>
  <c r="Q38" i="3" l="1"/>
  <c r="Q37" i="3"/>
  <c r="Q36" i="3"/>
  <c r="Q35" i="3"/>
  <c r="Q34" i="3"/>
  <c r="Q33" i="3"/>
  <c r="Q32" i="3"/>
  <c r="Q31" i="3"/>
  <c r="Q30" i="3"/>
  <c r="Q29" i="3"/>
  <c r="Q28" i="3"/>
  <c r="Q27" i="3"/>
  <c r="Q26" i="3"/>
  <c r="Q25" i="3"/>
  <c r="Q24" i="3"/>
  <c r="Q22" i="3"/>
  <c r="Q59" i="3" s="1"/>
  <c r="R23" i="3"/>
  <c r="P62" i="3"/>
  <c r="P63" i="3"/>
  <c r="P60" i="3"/>
  <c r="P67" i="3" s="1"/>
  <c r="P68" i="3" s="1"/>
  <c r="P61" i="3"/>
  <c r="N64" i="2"/>
  <c r="N65" i="2" s="1"/>
  <c r="P36" i="2"/>
  <c r="P35" i="2"/>
  <c r="P34" i="2"/>
  <c r="P33" i="2"/>
  <c r="P32" i="2"/>
  <c r="P31" i="2"/>
  <c r="P30" i="2"/>
  <c r="P26" i="2"/>
  <c r="P28" i="2"/>
  <c r="P24" i="2"/>
  <c r="Q23" i="2"/>
  <c r="P22" i="2"/>
  <c r="P56" i="2" s="1"/>
  <c r="P27" i="2"/>
  <c r="P29" i="2"/>
  <c r="P25" i="2"/>
  <c r="O59" i="2"/>
  <c r="O60" i="2"/>
  <c r="O58" i="2"/>
  <c r="O57" i="2"/>
  <c r="O64" i="2" s="1"/>
  <c r="O65" i="2" s="1"/>
  <c r="Q63" i="3" l="1"/>
  <c r="Q60" i="3"/>
  <c r="Q67" i="3" s="1"/>
  <c r="Q68" i="3" s="1"/>
  <c r="Q61" i="3"/>
  <c r="Q62" i="3"/>
  <c r="R38" i="3"/>
  <c r="R37" i="3"/>
  <c r="R36" i="3"/>
  <c r="R35" i="3"/>
  <c r="R34" i="3"/>
  <c r="R33" i="3"/>
  <c r="R32" i="3"/>
  <c r="R31" i="3"/>
  <c r="R30" i="3"/>
  <c r="R29" i="3"/>
  <c r="R25" i="3"/>
  <c r="R26" i="3"/>
  <c r="S23" i="3"/>
  <c r="R27" i="3"/>
  <c r="R22" i="3"/>
  <c r="R59" i="3" s="1"/>
  <c r="R28" i="3"/>
  <c r="R24" i="3"/>
  <c r="Q36" i="2"/>
  <c r="Q35" i="2"/>
  <c r="Q31" i="2"/>
  <c r="Q32" i="2"/>
  <c r="R23" i="2"/>
  <c r="Q22" i="2"/>
  <c r="Q56" i="2" s="1"/>
  <c r="Q33" i="2"/>
  <c r="Q27" i="2"/>
  <c r="Q34" i="2"/>
  <c r="Q28" i="2"/>
  <c r="Q24" i="2"/>
  <c r="Q29" i="2"/>
  <c r="Q25" i="2"/>
  <c r="Q30" i="2"/>
  <c r="Q26" i="2"/>
  <c r="P60" i="2"/>
  <c r="P57" i="2"/>
  <c r="P64" i="2" s="1"/>
  <c r="P65" i="2" s="1"/>
  <c r="P59" i="2"/>
  <c r="P58" i="2"/>
  <c r="R60" i="3" l="1"/>
  <c r="R67" i="3" s="1"/>
  <c r="R68" i="3" s="1"/>
  <c r="R61" i="3"/>
  <c r="R62" i="3"/>
  <c r="R63" i="3"/>
  <c r="S37" i="3"/>
  <c r="S38" i="3"/>
  <c r="S33" i="3"/>
  <c r="S29" i="3"/>
  <c r="S26" i="3"/>
  <c r="S34" i="3"/>
  <c r="S30" i="3"/>
  <c r="S27" i="3"/>
  <c r="T23" i="3"/>
  <c r="S22" i="3"/>
  <c r="S59" i="3" s="1"/>
  <c r="S35" i="3"/>
  <c r="S31" i="3"/>
  <c r="S28" i="3"/>
  <c r="S24" i="3"/>
  <c r="S36" i="3"/>
  <c r="S25" i="3"/>
  <c r="S32" i="3"/>
  <c r="Q57" i="2"/>
  <c r="Q64" i="2" s="1"/>
  <c r="Q65" i="2" s="1"/>
  <c r="Q58" i="2"/>
  <c r="Q60" i="2"/>
  <c r="Q59" i="2"/>
  <c r="R36" i="2"/>
  <c r="R32" i="2"/>
  <c r="S23" i="2"/>
  <c r="R22" i="2"/>
  <c r="R56" i="2" s="1"/>
  <c r="R25" i="2"/>
  <c r="R33" i="2"/>
  <c r="R29" i="2"/>
  <c r="R28" i="2"/>
  <c r="R27" i="2"/>
  <c r="R26" i="2"/>
  <c r="R24" i="2"/>
  <c r="R31" i="2"/>
  <c r="R35" i="2"/>
  <c r="R34" i="2"/>
  <c r="R30" i="2"/>
  <c r="S61" i="3" l="1"/>
  <c r="S62" i="3"/>
  <c r="S63" i="3"/>
  <c r="S60" i="3"/>
  <c r="S67" i="3" s="1"/>
  <c r="S68" i="3" s="1"/>
  <c r="T38" i="3"/>
  <c r="T37" i="3"/>
  <c r="U23" i="3"/>
  <c r="T22" i="3"/>
  <c r="T34" i="3"/>
  <c r="T30" i="3"/>
  <c r="T27" i="3"/>
  <c r="T35" i="3"/>
  <c r="T31" i="3"/>
  <c r="T28" i="3"/>
  <c r="T24" i="3"/>
  <c r="T36" i="3"/>
  <c r="T32" i="3"/>
  <c r="T25" i="3"/>
  <c r="T26" i="3"/>
  <c r="T33" i="3"/>
  <c r="T29" i="3"/>
  <c r="R58" i="2"/>
  <c r="R59" i="2"/>
  <c r="R60" i="2"/>
  <c r="R57" i="2"/>
  <c r="R64" i="2" s="1"/>
  <c r="R65" i="2" s="1"/>
  <c r="S36" i="2"/>
  <c r="S33" i="2"/>
  <c r="S29" i="2"/>
  <c r="S28" i="2"/>
  <c r="S27" i="2"/>
  <c r="S26" i="2"/>
  <c r="S25" i="2"/>
  <c r="S24" i="2"/>
  <c r="S35" i="2"/>
  <c r="S34" i="2"/>
  <c r="S30" i="2"/>
  <c r="S31" i="2"/>
  <c r="S32" i="2"/>
  <c r="T23" i="2"/>
  <c r="S22" i="2"/>
  <c r="S56" i="2" s="1"/>
  <c r="T59" i="3" l="1"/>
  <c r="T14" i="3"/>
  <c r="R15" i="3" s="1"/>
  <c r="AO26" i="3"/>
  <c r="AN26" i="3"/>
  <c r="AL26" i="3"/>
  <c r="AM26" i="3"/>
  <c r="T62" i="3"/>
  <c r="T63" i="3"/>
  <c r="T60" i="3"/>
  <c r="T67" i="3" s="1"/>
  <c r="T68" i="3" s="1"/>
  <c r="T61" i="3"/>
  <c r="AN24" i="3"/>
  <c r="AL24" i="3"/>
  <c r="AO24" i="3"/>
  <c r="AM24" i="3"/>
  <c r="AN27" i="3"/>
  <c r="AL27" i="3"/>
  <c r="AM27" i="3"/>
  <c r="AO27" i="3"/>
  <c r="U38" i="3"/>
  <c r="U37" i="3"/>
  <c r="U36" i="3"/>
  <c r="U35" i="3"/>
  <c r="U34" i="3"/>
  <c r="U33" i="3"/>
  <c r="U32" i="3"/>
  <c r="U31" i="3"/>
  <c r="U30" i="3"/>
  <c r="U29" i="3"/>
  <c r="U28" i="3"/>
  <c r="U27" i="3"/>
  <c r="U26" i="3"/>
  <c r="U25" i="3"/>
  <c r="U24" i="3"/>
  <c r="U21" i="3"/>
  <c r="V23" i="3"/>
  <c r="U22" i="3"/>
  <c r="AO25" i="3"/>
  <c r="AM25" i="3"/>
  <c r="AN25" i="3"/>
  <c r="AL25" i="3"/>
  <c r="AO28" i="3"/>
  <c r="AM28" i="3"/>
  <c r="AL28" i="3"/>
  <c r="AN28" i="3"/>
  <c r="AM30" i="3"/>
  <c r="AN30" i="3"/>
  <c r="AO30" i="3"/>
  <c r="AL30" i="3"/>
  <c r="AM37" i="3"/>
  <c r="AL37" i="3"/>
  <c r="AO37" i="3"/>
  <c r="AN37" i="3"/>
  <c r="AO33" i="3"/>
  <c r="AN33" i="3"/>
  <c r="AM33" i="3"/>
  <c r="AL33" i="3"/>
  <c r="AM36" i="3"/>
  <c r="AN36" i="3"/>
  <c r="AO36" i="3"/>
  <c r="AL36" i="3"/>
  <c r="AN35" i="3"/>
  <c r="AO35" i="3"/>
  <c r="AL35" i="3"/>
  <c r="AM35" i="3"/>
  <c r="AO29" i="3"/>
  <c r="AL29" i="3"/>
  <c r="AN29" i="3"/>
  <c r="AM29" i="3"/>
  <c r="AL32" i="3"/>
  <c r="AM32" i="3"/>
  <c r="AO32" i="3"/>
  <c r="AN32" i="3"/>
  <c r="AL31" i="3"/>
  <c r="AM31" i="3"/>
  <c r="AO31" i="3"/>
  <c r="AN31" i="3"/>
  <c r="AN34" i="3"/>
  <c r="AM34" i="3"/>
  <c r="AO34" i="3"/>
  <c r="AL34" i="3"/>
  <c r="AO38" i="3"/>
  <c r="AM38" i="3"/>
  <c r="AN38" i="3"/>
  <c r="AL38" i="3"/>
  <c r="S59" i="2"/>
  <c r="S60" i="2"/>
  <c r="S57" i="2"/>
  <c r="S58" i="2"/>
  <c r="T36" i="2"/>
  <c r="T35" i="2"/>
  <c r="T34" i="2"/>
  <c r="T33" i="2"/>
  <c r="T32" i="2"/>
  <c r="T31" i="2"/>
  <c r="T30" i="2"/>
  <c r="T28" i="2"/>
  <c r="T24" i="2"/>
  <c r="U23" i="2"/>
  <c r="T22" i="2"/>
  <c r="T26" i="2"/>
  <c r="T29" i="2"/>
  <c r="T25" i="2"/>
  <c r="T27" i="2"/>
  <c r="V38" i="3" l="1"/>
  <c r="V37" i="3"/>
  <c r="V36" i="3"/>
  <c r="V35" i="3"/>
  <c r="V34" i="3"/>
  <c r="V33" i="3"/>
  <c r="V32" i="3"/>
  <c r="V31" i="3"/>
  <c r="V30" i="3"/>
  <c r="V29" i="3"/>
  <c r="V28" i="3"/>
  <c r="V24" i="3"/>
  <c r="V25" i="3"/>
  <c r="V26" i="3"/>
  <c r="V27" i="3"/>
  <c r="W23" i="3"/>
  <c r="V22" i="3"/>
  <c r="V59" i="3" s="1"/>
  <c r="U59" i="3"/>
  <c r="U63" i="3"/>
  <c r="U60" i="3"/>
  <c r="U67" i="3" s="1"/>
  <c r="U68" i="3" s="1"/>
  <c r="U61" i="3"/>
  <c r="U62" i="3"/>
  <c r="AO57" i="3"/>
  <c r="AO58" i="3"/>
  <c r="AL33" i="2"/>
  <c r="AN33" i="2"/>
  <c r="AO33" i="2"/>
  <c r="AM33" i="2"/>
  <c r="AN27" i="2"/>
  <c r="AL27" i="2"/>
  <c r="AO27" i="2"/>
  <c r="AM27" i="2"/>
  <c r="AN34" i="2"/>
  <c r="AL34" i="2"/>
  <c r="AO34" i="2"/>
  <c r="AM34" i="2"/>
  <c r="S64" i="2"/>
  <c r="S65" i="2" s="1"/>
  <c r="AO28" i="2"/>
  <c r="AN28" i="2"/>
  <c r="AL28" i="2"/>
  <c r="AM28" i="2"/>
  <c r="T56" i="2"/>
  <c r="T14" i="2"/>
  <c r="R15" i="2" s="1"/>
  <c r="AO25" i="2"/>
  <c r="AN25" i="2"/>
  <c r="AL25" i="2"/>
  <c r="AM25" i="2"/>
  <c r="U36" i="2"/>
  <c r="U35" i="2"/>
  <c r="U34" i="2"/>
  <c r="U30" i="2"/>
  <c r="U22" i="2"/>
  <c r="U31" i="2"/>
  <c r="V23" i="2"/>
  <c r="U32" i="2"/>
  <c r="U29" i="2"/>
  <c r="U25" i="2"/>
  <c r="U21" i="2"/>
  <c r="U27" i="2"/>
  <c r="U28" i="2"/>
  <c r="U26" i="2"/>
  <c r="U33" i="2"/>
  <c r="U24" i="2"/>
  <c r="AL31" i="2"/>
  <c r="AM31" i="2"/>
  <c r="AO31" i="2"/>
  <c r="AN31" i="2"/>
  <c r="AN35" i="2"/>
  <c r="AO35" i="2"/>
  <c r="AL35" i="2"/>
  <c r="AM35" i="2"/>
  <c r="AM26" i="2"/>
  <c r="AO26" i="2"/>
  <c r="AN26" i="2"/>
  <c r="AL26" i="2"/>
  <c r="AL30" i="2"/>
  <c r="AM30" i="2"/>
  <c r="AN30" i="2"/>
  <c r="AO30" i="2"/>
  <c r="AN29" i="2"/>
  <c r="AL29" i="2"/>
  <c r="AM29" i="2"/>
  <c r="AO29" i="2"/>
  <c r="T60" i="2"/>
  <c r="T57" i="2"/>
  <c r="T64" i="2" s="1"/>
  <c r="T65" i="2" s="1"/>
  <c r="T58" i="2"/>
  <c r="T59" i="2"/>
  <c r="AL24" i="2"/>
  <c r="AN24" i="2"/>
  <c r="AM24" i="2"/>
  <c r="AO24" i="2"/>
  <c r="AM32" i="2"/>
  <c r="AN32" i="2"/>
  <c r="AO32" i="2"/>
  <c r="AL32" i="2"/>
  <c r="AO36" i="2"/>
  <c r="AL36" i="2"/>
  <c r="AM36" i="2"/>
  <c r="AN36" i="2"/>
  <c r="V60" i="3" l="1"/>
  <c r="V67" i="3" s="1"/>
  <c r="V68" i="3" s="1"/>
  <c r="V61" i="3"/>
  <c r="V62" i="3"/>
  <c r="V63" i="3"/>
  <c r="W38" i="3"/>
  <c r="W35" i="3"/>
  <c r="W31" i="3"/>
  <c r="W25" i="3"/>
  <c r="W37" i="3"/>
  <c r="W36" i="3"/>
  <c r="W32" i="3"/>
  <c r="W26" i="3"/>
  <c r="W22" i="3"/>
  <c r="W59" i="3" s="1"/>
  <c r="W33" i="3"/>
  <c r="W29" i="3"/>
  <c r="W27" i="3"/>
  <c r="X23" i="3"/>
  <c r="W28" i="3"/>
  <c r="W30" i="3"/>
  <c r="W24" i="3"/>
  <c r="W34" i="3"/>
  <c r="AO54" i="2"/>
  <c r="AO55" i="2"/>
  <c r="U57" i="2"/>
  <c r="U58" i="2"/>
  <c r="U59" i="2"/>
  <c r="U60" i="2"/>
  <c r="V35" i="2"/>
  <c r="V31" i="2"/>
  <c r="W23" i="2"/>
  <c r="V22" i="2"/>
  <c r="V56" i="2" s="1"/>
  <c r="V25" i="2"/>
  <c r="V32" i="2"/>
  <c r="V29" i="2"/>
  <c r="V28" i="2"/>
  <c r="V27" i="2"/>
  <c r="V26" i="2"/>
  <c r="V24" i="2"/>
  <c r="V36" i="2"/>
  <c r="V34" i="2"/>
  <c r="V30" i="2"/>
  <c r="V33" i="2"/>
  <c r="U56" i="2"/>
  <c r="X38" i="3" l="1"/>
  <c r="X37" i="3"/>
  <c r="X36" i="3"/>
  <c r="Y23" i="3"/>
  <c r="X22" i="3"/>
  <c r="X59" i="3" s="1"/>
  <c r="X32" i="3"/>
  <c r="X26" i="3"/>
  <c r="X33" i="3"/>
  <c r="X29" i="3"/>
  <c r="X27" i="3"/>
  <c r="X34" i="3"/>
  <c r="X30" i="3"/>
  <c r="X28" i="3"/>
  <c r="X24" i="3"/>
  <c r="X31" i="3"/>
  <c r="X35" i="3"/>
  <c r="X25" i="3"/>
  <c r="W61" i="3"/>
  <c r="W62" i="3"/>
  <c r="W63" i="3"/>
  <c r="W60" i="3"/>
  <c r="W67" i="3" s="1"/>
  <c r="W68" i="3" s="1"/>
  <c r="U64" i="2"/>
  <c r="U65" i="2" s="1"/>
  <c r="V58" i="2"/>
  <c r="V59" i="2"/>
  <c r="V57" i="2"/>
  <c r="V64" i="2" s="1"/>
  <c r="V65" i="2" s="1"/>
  <c r="V60" i="2"/>
  <c r="W35" i="2"/>
  <c r="W32" i="2"/>
  <c r="W29" i="2"/>
  <c r="W28" i="2"/>
  <c r="W27" i="2"/>
  <c r="W26" i="2"/>
  <c r="W25" i="2"/>
  <c r="W24" i="2"/>
  <c r="W36" i="2"/>
  <c r="W33" i="2"/>
  <c r="W34" i="2"/>
  <c r="W30" i="2"/>
  <c r="W31" i="2"/>
  <c r="X23" i="2"/>
  <c r="W22" i="2"/>
  <c r="Y38" i="3" l="1"/>
  <c r="Y37" i="3"/>
  <c r="Y36" i="3"/>
  <c r="Y35" i="3"/>
  <c r="Y34" i="3"/>
  <c r="Y33" i="3"/>
  <c r="Y32" i="3"/>
  <c r="Y31" i="3"/>
  <c r="Y30" i="3"/>
  <c r="Y29" i="3"/>
  <c r="Y28" i="3"/>
  <c r="Y27" i="3"/>
  <c r="Y26" i="3"/>
  <c r="Y25" i="3"/>
  <c r="Y24" i="3"/>
  <c r="Z23" i="3"/>
  <c r="Y22" i="3"/>
  <c r="Y59" i="3" s="1"/>
  <c r="X62" i="3"/>
  <c r="X63" i="3"/>
  <c r="X60" i="3"/>
  <c r="X67" i="3" s="1"/>
  <c r="X68" i="3" s="1"/>
  <c r="X61" i="3"/>
  <c r="X36" i="2"/>
  <c r="X35" i="2"/>
  <c r="X34" i="2"/>
  <c r="X33" i="2"/>
  <c r="X32" i="2"/>
  <c r="X31" i="2"/>
  <c r="X30" i="2"/>
  <c r="X26" i="2"/>
  <c r="X28" i="2"/>
  <c r="X24" i="2"/>
  <c r="X27" i="2"/>
  <c r="Y23" i="2"/>
  <c r="X22" i="2"/>
  <c r="X56" i="2" s="1"/>
  <c r="X29" i="2"/>
  <c r="X25" i="2"/>
  <c r="W56" i="2"/>
  <c r="W59" i="2"/>
  <c r="W60" i="2"/>
  <c r="W58" i="2"/>
  <c r="W57" i="2"/>
  <c r="W64" i="2" s="1"/>
  <c r="W65" i="2" s="1"/>
  <c r="Z38" i="3" l="1"/>
  <c r="Z37" i="3"/>
  <c r="Z35" i="3"/>
  <c r="Z34" i="3"/>
  <c r="Z33" i="3"/>
  <c r="Z32" i="3"/>
  <c r="Z31" i="3"/>
  <c r="Z30" i="3"/>
  <c r="Z29" i="3"/>
  <c r="Z36" i="3"/>
  <c r="Z27" i="3"/>
  <c r="AA23" i="3"/>
  <c r="Z22" i="3"/>
  <c r="Z28" i="3"/>
  <c r="Z24" i="3"/>
  <c r="Z25" i="3"/>
  <c r="Z26" i="3"/>
  <c r="Y63" i="3"/>
  <c r="Y60" i="3"/>
  <c r="Y61" i="3"/>
  <c r="Y62" i="3"/>
  <c r="Y36" i="2"/>
  <c r="Y35" i="2"/>
  <c r="Y34" i="2"/>
  <c r="Y33" i="2"/>
  <c r="Y30" i="2"/>
  <c r="Z23" i="2"/>
  <c r="Y22" i="2"/>
  <c r="Y27" i="2"/>
  <c r="Y32" i="2"/>
  <c r="Y26" i="2"/>
  <c r="Y31" i="2"/>
  <c r="Y28" i="2"/>
  <c r="Y24" i="2"/>
  <c r="Y29" i="2"/>
  <c r="Y25" i="2"/>
  <c r="X60" i="2"/>
  <c r="X57" i="2"/>
  <c r="X59" i="2"/>
  <c r="X58" i="2"/>
  <c r="Y67" i="3" l="1"/>
  <c r="Y68" i="3" s="1"/>
  <c r="Z60" i="3"/>
  <c r="Z67" i="3" s="1"/>
  <c r="Z68" i="3" s="1"/>
  <c r="Z61" i="3"/>
  <c r="Z62" i="3"/>
  <c r="Z63" i="3"/>
  <c r="AA38" i="3"/>
  <c r="AA36" i="3"/>
  <c r="AA37" i="3"/>
  <c r="AA33" i="3"/>
  <c r="AA29" i="3"/>
  <c r="AA28" i="3"/>
  <c r="AA24" i="3"/>
  <c r="AA34" i="3"/>
  <c r="AA30" i="3"/>
  <c r="AA25" i="3"/>
  <c r="AA35" i="3"/>
  <c r="AA31" i="3"/>
  <c r="AA26" i="3"/>
  <c r="AB23" i="3"/>
  <c r="AA32" i="3"/>
  <c r="AA27" i="3"/>
  <c r="AA22" i="3"/>
  <c r="AA59" i="3" s="1"/>
  <c r="Z59" i="3"/>
  <c r="Y56" i="2"/>
  <c r="Z36" i="2"/>
  <c r="Z34" i="2"/>
  <c r="Z30" i="2"/>
  <c r="AA23" i="2"/>
  <c r="Z22" i="2"/>
  <c r="Z56" i="2" s="1"/>
  <c r="Z27" i="2"/>
  <c r="Z25" i="2"/>
  <c r="Z31" i="2"/>
  <c r="Z29" i="2"/>
  <c r="Z28" i="2"/>
  <c r="Z26" i="2"/>
  <c r="Z24" i="2"/>
  <c r="Z32" i="2"/>
  <c r="Z35" i="2"/>
  <c r="Z33" i="2"/>
  <c r="X64" i="2"/>
  <c r="X65" i="2" s="1"/>
  <c r="Y57" i="2"/>
  <c r="Y58" i="2"/>
  <c r="Y60" i="2"/>
  <c r="Y59" i="2"/>
  <c r="AA61" i="3" l="1"/>
  <c r="AA62" i="3"/>
  <c r="AA63" i="3"/>
  <c r="AA60" i="3"/>
  <c r="AA67" i="3" s="1"/>
  <c r="AA68" i="3" s="1"/>
  <c r="AB38" i="3"/>
  <c r="AB37" i="3"/>
  <c r="AB36" i="3"/>
  <c r="AC23" i="3"/>
  <c r="AB22" i="3"/>
  <c r="AB59" i="3" s="1"/>
  <c r="AB34" i="3"/>
  <c r="AB30" i="3"/>
  <c r="AB25" i="3"/>
  <c r="AB21" i="3"/>
  <c r="AB35" i="3"/>
  <c r="AB31" i="3"/>
  <c r="AB26" i="3"/>
  <c r="AB32" i="3"/>
  <c r="AB27" i="3"/>
  <c r="AB33" i="3"/>
  <c r="AB24" i="3"/>
  <c r="AB29" i="3"/>
  <c r="AB28" i="3"/>
  <c r="Y64" i="2"/>
  <c r="Y65" i="2" s="1"/>
  <c r="Z58" i="2"/>
  <c r="Z59" i="2"/>
  <c r="Z57" i="2"/>
  <c r="Z64" i="2" s="1"/>
  <c r="Z65" i="2" s="1"/>
  <c r="Z60" i="2"/>
  <c r="AA31" i="2"/>
  <c r="AA29" i="2"/>
  <c r="AA28" i="2"/>
  <c r="AA27" i="2"/>
  <c r="AA26" i="2"/>
  <c r="AA25" i="2"/>
  <c r="AA24" i="2"/>
  <c r="AA36" i="2"/>
  <c r="AA34" i="2"/>
  <c r="AA32" i="2"/>
  <c r="AA35" i="2"/>
  <c r="AA33" i="2"/>
  <c r="AB23" i="2"/>
  <c r="AA22" i="2"/>
  <c r="AA56" i="2" s="1"/>
  <c r="AA30" i="2"/>
  <c r="AB62" i="3" l="1"/>
  <c r="AB63" i="3"/>
  <c r="AB60" i="3"/>
  <c r="AB61" i="3"/>
  <c r="AC38" i="3"/>
  <c r="AC37" i="3"/>
  <c r="AC36" i="3"/>
  <c r="AC35" i="3"/>
  <c r="AC34" i="3"/>
  <c r="AC33" i="3"/>
  <c r="AC32" i="3"/>
  <c r="AC31" i="3"/>
  <c r="AC30" i="3"/>
  <c r="AC29" i="3"/>
  <c r="AC28" i="3"/>
  <c r="AC27" i="3"/>
  <c r="AC26" i="3"/>
  <c r="AC25" i="3"/>
  <c r="AC24" i="3"/>
  <c r="AD23" i="3"/>
  <c r="AC22" i="3"/>
  <c r="AC59" i="3" s="1"/>
  <c r="AA59" i="2"/>
  <c r="AA60" i="2"/>
  <c r="AA58" i="2"/>
  <c r="AA57" i="2"/>
  <c r="AA64" i="2" s="1"/>
  <c r="AA65" i="2" s="1"/>
  <c r="AB36" i="2"/>
  <c r="AB35" i="2"/>
  <c r="AB34" i="2"/>
  <c r="AB33" i="2"/>
  <c r="AB32" i="2"/>
  <c r="AB31" i="2"/>
  <c r="AB30" i="2"/>
  <c r="AB21" i="2"/>
  <c r="AB28" i="2"/>
  <c r="AB24" i="2"/>
  <c r="AC23" i="2"/>
  <c r="AB22" i="2"/>
  <c r="AB27" i="2"/>
  <c r="AB29" i="2"/>
  <c r="AB25" i="2"/>
  <c r="AB26" i="2"/>
  <c r="AD38" i="3" l="1"/>
  <c r="AD37" i="3"/>
  <c r="AD36" i="3"/>
  <c r="AD35" i="3"/>
  <c r="AD34" i="3"/>
  <c r="AD33" i="3"/>
  <c r="AD32" i="3"/>
  <c r="AD31" i="3"/>
  <c r="AD30" i="3"/>
  <c r="AD29" i="3"/>
  <c r="AD26" i="3"/>
  <c r="AD27" i="3"/>
  <c r="AE23" i="3"/>
  <c r="AD22" i="3"/>
  <c r="AD59" i="3" s="1"/>
  <c r="AD28" i="3"/>
  <c r="AD24" i="3"/>
  <c r="AD25" i="3"/>
  <c r="AB67" i="3"/>
  <c r="AB68" i="3" s="1"/>
  <c r="AC63" i="3"/>
  <c r="AC60" i="3"/>
  <c r="AC67" i="3" s="1"/>
  <c r="AC68" i="3" s="1"/>
  <c r="AC61" i="3"/>
  <c r="AC62" i="3"/>
  <c r="AC36" i="2"/>
  <c r="AC35" i="2"/>
  <c r="AC34" i="2"/>
  <c r="AC32" i="2"/>
  <c r="AC22" i="2"/>
  <c r="AC56" i="2" s="1"/>
  <c r="AC33" i="2"/>
  <c r="AD23" i="2"/>
  <c r="AC31" i="2"/>
  <c r="AC29" i="2"/>
  <c r="AC25" i="2"/>
  <c r="AC27" i="2"/>
  <c r="AC26" i="2"/>
  <c r="AC30" i="2"/>
  <c r="AC28" i="2"/>
  <c r="AC24" i="2"/>
  <c r="AB56" i="2"/>
  <c r="AB60" i="2"/>
  <c r="AB57" i="2"/>
  <c r="AB59" i="2"/>
  <c r="AB58" i="2"/>
  <c r="AD60" i="3" l="1"/>
  <c r="AD67" i="3" s="1"/>
  <c r="AD68" i="3" s="1"/>
  <c r="AD61" i="3"/>
  <c r="AD62" i="3"/>
  <c r="AD63" i="3"/>
  <c r="AE37" i="3"/>
  <c r="AE35" i="3"/>
  <c r="AE31" i="3"/>
  <c r="AE27" i="3"/>
  <c r="AF23" i="3"/>
  <c r="AE22" i="3"/>
  <c r="AE59" i="3" s="1"/>
  <c r="AE32" i="3"/>
  <c r="AE28" i="3"/>
  <c r="AE24" i="3"/>
  <c r="AE33" i="3"/>
  <c r="AE29" i="3"/>
  <c r="AE25" i="3"/>
  <c r="AE30" i="3"/>
  <c r="AE36" i="3"/>
  <c r="AE26" i="3"/>
  <c r="AE38" i="3"/>
  <c r="AE34" i="3"/>
  <c r="AB64" i="2"/>
  <c r="AB65" i="2" s="1"/>
  <c r="AC57" i="2"/>
  <c r="AC64" i="2" s="1"/>
  <c r="AC65" i="2" s="1"/>
  <c r="AC58" i="2"/>
  <c r="AC60" i="2"/>
  <c r="AC59" i="2"/>
  <c r="AD35" i="2"/>
  <c r="AD36" i="2"/>
  <c r="AD34" i="2"/>
  <c r="AD33" i="2"/>
  <c r="AE23" i="2"/>
  <c r="AD22" i="2"/>
  <c r="AD56" i="2" s="1"/>
  <c r="AD25" i="2"/>
  <c r="AD30" i="2"/>
  <c r="AD29" i="2"/>
  <c r="AD28" i="2"/>
  <c r="AD27" i="2"/>
  <c r="AD26" i="2"/>
  <c r="AD24" i="2"/>
  <c r="AD31" i="2"/>
  <c r="AD32" i="2"/>
  <c r="AE61" i="3" l="1"/>
  <c r="AE62" i="3"/>
  <c r="AE63" i="3"/>
  <c r="AE60" i="3"/>
  <c r="AE67" i="3" s="1"/>
  <c r="AE68" i="3" s="1"/>
  <c r="AF38" i="3"/>
  <c r="AF37" i="3"/>
  <c r="AF36" i="3"/>
  <c r="AG23" i="3"/>
  <c r="AF22" i="3"/>
  <c r="AF59" i="3" s="1"/>
  <c r="AF32" i="3"/>
  <c r="AF28" i="3"/>
  <c r="AF24" i="3"/>
  <c r="AF33" i="3"/>
  <c r="AF29" i="3"/>
  <c r="AF25" i="3"/>
  <c r="AF34" i="3"/>
  <c r="AF30" i="3"/>
  <c r="AF26" i="3"/>
  <c r="AF35" i="3"/>
  <c r="AF31" i="3"/>
  <c r="AF27" i="3"/>
  <c r="AD58" i="2"/>
  <c r="AD59" i="2"/>
  <c r="AD57" i="2"/>
  <c r="AD64" i="2" s="1"/>
  <c r="AD65" i="2" s="1"/>
  <c r="AD60" i="2"/>
  <c r="AE30" i="2"/>
  <c r="AE29" i="2"/>
  <c r="AE28" i="2"/>
  <c r="AE27" i="2"/>
  <c r="AE26" i="2"/>
  <c r="AE25" i="2"/>
  <c r="AE24" i="2"/>
  <c r="AE35" i="2"/>
  <c r="AE31" i="2"/>
  <c r="AE32" i="2"/>
  <c r="AE36" i="2"/>
  <c r="AE34" i="2"/>
  <c r="AE33" i="2"/>
  <c r="AF23" i="2"/>
  <c r="AE22" i="2"/>
  <c r="AE56" i="2" s="1"/>
  <c r="AF62" i="3" l="1"/>
  <c r="AF63" i="3"/>
  <c r="AF60" i="3"/>
  <c r="AF61" i="3"/>
  <c r="AG38" i="3"/>
  <c r="AG37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2" i="3"/>
  <c r="AG59" i="3" s="1"/>
  <c r="AH23" i="3"/>
  <c r="AE59" i="2"/>
  <c r="AE60" i="2"/>
  <c r="AE58" i="2"/>
  <c r="AE57" i="2"/>
  <c r="AE64" i="2" s="1"/>
  <c r="AE65" i="2" s="1"/>
  <c r="AF36" i="2"/>
  <c r="AF35" i="2"/>
  <c r="AF34" i="2"/>
  <c r="AF33" i="2"/>
  <c r="AF32" i="2"/>
  <c r="AF31" i="2"/>
  <c r="AF30" i="2"/>
  <c r="AF26" i="2"/>
  <c r="AF28" i="2"/>
  <c r="AF24" i="2"/>
  <c r="AG23" i="2"/>
  <c r="AF22" i="2"/>
  <c r="AF56" i="2" s="1"/>
  <c r="AF29" i="2"/>
  <c r="AF27" i="2"/>
  <c r="AF25" i="2"/>
  <c r="AF67" i="3" l="1"/>
  <c r="AF68" i="3" s="1"/>
  <c r="AG63" i="3"/>
  <c r="AG60" i="3"/>
  <c r="AG61" i="3"/>
  <c r="AG62" i="3"/>
  <c r="AH38" i="3"/>
  <c r="AH37" i="3"/>
  <c r="AH35" i="3"/>
  <c r="AH34" i="3"/>
  <c r="AH33" i="3"/>
  <c r="AH32" i="3"/>
  <c r="AH31" i="3"/>
  <c r="AH30" i="3"/>
  <c r="AH29" i="3"/>
  <c r="AH28" i="3"/>
  <c r="AH25" i="3"/>
  <c r="AH26" i="3"/>
  <c r="AH22" i="3"/>
  <c r="AH36" i="3"/>
  <c r="AH27" i="3"/>
  <c r="AI23" i="3"/>
  <c r="AH24" i="3"/>
  <c r="AG36" i="2"/>
  <c r="AG35" i="2"/>
  <c r="AG34" i="2"/>
  <c r="AG31" i="2"/>
  <c r="AG32" i="2"/>
  <c r="AH23" i="2"/>
  <c r="AG22" i="2"/>
  <c r="AG56" i="2" s="1"/>
  <c r="AG27" i="2"/>
  <c r="AG30" i="2"/>
  <c r="AG28" i="2"/>
  <c r="AG24" i="2"/>
  <c r="AG33" i="2"/>
  <c r="AG29" i="2"/>
  <c r="AG25" i="2"/>
  <c r="AG26" i="2"/>
  <c r="AF60" i="2"/>
  <c r="AF57" i="2"/>
  <c r="AF64" i="2" s="1"/>
  <c r="AF65" i="2" s="1"/>
  <c r="AF59" i="2"/>
  <c r="AF58" i="2"/>
  <c r="AG67" i="3" l="1"/>
  <c r="AG68" i="3" s="1"/>
  <c r="AH59" i="3"/>
  <c r="AH14" i="3"/>
  <c r="AF15" i="3" s="1"/>
  <c r="AH60" i="3"/>
  <c r="AH67" i="3" s="1"/>
  <c r="AH68" i="3" s="1"/>
  <c r="AH61" i="3"/>
  <c r="AH62" i="3"/>
  <c r="AH63" i="3"/>
  <c r="AI37" i="3"/>
  <c r="AI36" i="3"/>
  <c r="AI33" i="3"/>
  <c r="AI29" i="3"/>
  <c r="AI26" i="3"/>
  <c r="AI34" i="3"/>
  <c r="AI30" i="3"/>
  <c r="AI27" i="3"/>
  <c r="AJ23" i="3"/>
  <c r="AI22" i="3"/>
  <c r="AI59" i="3" s="1"/>
  <c r="AI38" i="3"/>
  <c r="AI35" i="3"/>
  <c r="AI31" i="3"/>
  <c r="AI24" i="3"/>
  <c r="AI32" i="3"/>
  <c r="AI25" i="3"/>
  <c r="AI28" i="3"/>
  <c r="AI21" i="3"/>
  <c r="AG57" i="2"/>
  <c r="AG64" i="2" s="1"/>
  <c r="AG65" i="2" s="1"/>
  <c r="AG58" i="2"/>
  <c r="AG60" i="2"/>
  <c r="AG59" i="2"/>
  <c r="AH36" i="2"/>
  <c r="AH34" i="2"/>
  <c r="AH35" i="2"/>
  <c r="AH32" i="2"/>
  <c r="AI23" i="2"/>
  <c r="AH22" i="2"/>
  <c r="AH25" i="2"/>
  <c r="AH33" i="2"/>
  <c r="AH29" i="2"/>
  <c r="AH28" i="2"/>
  <c r="AH27" i="2"/>
  <c r="AH26" i="2"/>
  <c r="AH24" i="2"/>
  <c r="AH30" i="2"/>
  <c r="AH31" i="2"/>
  <c r="AJ38" i="3" l="1"/>
  <c r="AJ37" i="3"/>
  <c r="AJ36" i="3"/>
  <c r="AK23" i="3"/>
  <c r="AJ22" i="3"/>
  <c r="AJ59" i="3" s="1"/>
  <c r="AJ34" i="3"/>
  <c r="AJ30" i="3"/>
  <c r="AJ27" i="3"/>
  <c r="AJ35" i="3"/>
  <c r="AJ31" i="3"/>
  <c r="AJ24" i="3"/>
  <c r="AJ32" i="3"/>
  <c r="AJ28" i="3"/>
  <c r="AJ25" i="3"/>
  <c r="AJ26" i="3"/>
  <c r="AJ33" i="3"/>
  <c r="AJ29" i="3"/>
  <c r="AI61" i="3"/>
  <c r="AI62" i="3"/>
  <c r="AI63" i="3"/>
  <c r="AI60" i="3"/>
  <c r="AI67" i="3" s="1"/>
  <c r="AI68" i="3" s="1"/>
  <c r="AH56" i="2"/>
  <c r="AH14" i="2"/>
  <c r="AF15" i="2" s="1"/>
  <c r="AH58" i="2"/>
  <c r="AH59" i="2"/>
  <c r="AH60" i="2"/>
  <c r="AH57" i="2"/>
  <c r="AH64" i="2" s="1"/>
  <c r="AH65" i="2" s="1"/>
  <c r="AI33" i="2"/>
  <c r="AI29" i="2"/>
  <c r="AI28" i="2"/>
  <c r="AI27" i="2"/>
  <c r="AI26" i="2"/>
  <c r="AI25" i="2"/>
  <c r="AI24" i="2"/>
  <c r="AI21" i="2"/>
  <c r="AI36" i="2"/>
  <c r="AI30" i="2"/>
  <c r="AI31" i="2"/>
  <c r="AJ23" i="2"/>
  <c r="AI22" i="2"/>
  <c r="AI56" i="2" s="1"/>
  <c r="AI34" i="2"/>
  <c r="AI35" i="2"/>
  <c r="AI32" i="2"/>
  <c r="AK38" i="3" l="1"/>
  <c r="AK37" i="3"/>
  <c r="AK36" i="3"/>
  <c r="AK35" i="3"/>
  <c r="AK34" i="3"/>
  <c r="AK33" i="3"/>
  <c r="AK32" i="3"/>
  <c r="AK31" i="3"/>
  <c r="AK30" i="3"/>
  <c r="AK29" i="3"/>
  <c r="AK28" i="3"/>
  <c r="AK27" i="3"/>
  <c r="AK26" i="3"/>
  <c r="AK25" i="3"/>
  <c r="AK24" i="3"/>
  <c r="AK22" i="3"/>
  <c r="AJ62" i="3"/>
  <c r="AJ63" i="3"/>
  <c r="AJ60" i="3"/>
  <c r="AJ61" i="3"/>
  <c r="AJ36" i="2"/>
  <c r="AJ35" i="2"/>
  <c r="AJ34" i="2"/>
  <c r="AJ33" i="2"/>
  <c r="AJ32" i="2"/>
  <c r="AJ31" i="2"/>
  <c r="AJ30" i="2"/>
  <c r="AJ29" i="2"/>
  <c r="AJ28" i="2"/>
  <c r="AJ24" i="2"/>
  <c r="AK23" i="2"/>
  <c r="AJ22" i="2"/>
  <c r="AJ56" i="2" s="1"/>
  <c r="AJ26" i="2"/>
  <c r="AJ25" i="2"/>
  <c r="AJ27" i="2"/>
  <c r="AI59" i="2"/>
  <c r="AI60" i="2"/>
  <c r="AI57" i="2"/>
  <c r="AI64" i="2" s="1"/>
  <c r="AI65" i="2" s="1"/>
  <c r="AI58" i="2"/>
  <c r="AJ67" i="3" l="1"/>
  <c r="AJ68" i="3" s="1"/>
  <c r="AK63" i="3"/>
  <c r="AK60" i="3"/>
  <c r="AK61" i="3"/>
  <c r="AK62" i="3"/>
  <c r="AK59" i="3"/>
  <c r="AH20" i="3"/>
  <c r="AK36" i="2"/>
  <c r="AK35" i="2"/>
  <c r="AK34" i="2"/>
  <c r="AK30" i="2"/>
  <c r="AK22" i="2"/>
  <c r="AK31" i="2"/>
  <c r="AK25" i="2"/>
  <c r="AK27" i="2"/>
  <c r="AK33" i="2"/>
  <c r="AK29" i="2"/>
  <c r="AK26" i="2"/>
  <c r="AK32" i="2"/>
  <c r="AK28" i="2"/>
  <c r="AK24" i="2"/>
  <c r="AJ60" i="2"/>
  <c r="AJ57" i="2"/>
  <c r="AJ64" i="2" s="1"/>
  <c r="AJ65" i="2" s="1"/>
  <c r="AJ58" i="2"/>
  <c r="AJ59" i="2"/>
  <c r="AK67" i="3" l="1"/>
  <c r="AK68" i="3" s="1"/>
  <c r="AK57" i="2"/>
  <c r="AK64" i="2" s="1"/>
  <c r="AK65" i="2" s="1"/>
  <c r="AK58" i="2"/>
  <c r="AK59" i="2"/>
  <c r="AK60" i="2"/>
  <c r="AK56" i="2"/>
  <c r="AH20" i="2"/>
</calcChain>
</file>

<file path=xl/sharedStrings.xml><?xml version="1.0" encoding="utf-8"?>
<sst xmlns="http://schemas.openxmlformats.org/spreadsheetml/2006/main" count="261" uniqueCount="77">
  <si>
    <t>S44</t>
  </si>
  <si>
    <t>S45</t>
  </si>
  <si>
    <t>Lundi</t>
  </si>
  <si>
    <t>Mardi</t>
  </si>
  <si>
    <t>Mercredi</t>
  </si>
  <si>
    <t>Jeudi</t>
  </si>
  <si>
    <t>Vendredi</t>
  </si>
  <si>
    <t>Samedi</t>
  </si>
  <si>
    <t>Dimanche</t>
  </si>
  <si>
    <t>DISTRIBUTION DES FLUX PAR HEURE</t>
  </si>
  <si>
    <t>HORAIRE</t>
  </si>
  <si>
    <t>07:00</t>
  </si>
  <si>
    <t>08:00</t>
  </si>
  <si>
    <t>09:00</t>
  </si>
  <si>
    <t>10:00</t>
  </si>
  <si>
    <t>11:00</t>
  </si>
  <si>
    <t>12:00</t>
  </si>
  <si>
    <t>13:00</t>
  </si>
  <si>
    <t>14:00</t>
  </si>
  <si>
    <t>15:00</t>
  </si>
  <si>
    <t>16:00</t>
  </si>
  <si>
    <t>17:00</t>
  </si>
  <si>
    <t>18:00</t>
  </si>
  <si>
    <t>19:00</t>
  </si>
  <si>
    <t>20:00</t>
  </si>
  <si>
    <t>21:00</t>
  </si>
  <si>
    <t>Prévision</t>
  </si>
  <si>
    <t>Flux</t>
  </si>
  <si>
    <t>DISTRIBUTION DES CC PAR SHIFT</t>
  </si>
  <si>
    <t>QS</t>
  </si>
  <si>
    <t>Pause déjeuner</t>
  </si>
  <si>
    <t>DMT</t>
  </si>
  <si>
    <t>Coaching</t>
  </si>
  <si>
    <t>Occupancy</t>
  </si>
  <si>
    <t>Briefing</t>
  </si>
  <si>
    <t>Shrinkage</t>
  </si>
  <si>
    <t>RESUME SUR LES SHIFTS DU WEEK</t>
  </si>
  <si>
    <t>Shift matin</t>
  </si>
  <si>
    <t>Shift Soir</t>
  </si>
  <si>
    <t xml:space="preserve">Flux prévisionnel </t>
  </si>
  <si>
    <t>Campagne pdv</t>
  </si>
  <si>
    <t>Total Days</t>
  </si>
  <si>
    <t>two weeks Starts on:</t>
  </si>
  <si>
    <t>Start Date:</t>
  </si>
  <si>
    <t>End Date:</t>
  </si>
  <si>
    <t>Octobre</t>
  </si>
  <si>
    <t>1010_PDV-VM</t>
  </si>
  <si>
    <t>Month Starts on:</t>
  </si>
  <si>
    <t>Report Final</t>
  </si>
  <si>
    <t xml:space="preserve">Id </t>
  </si>
  <si>
    <t>Nom des Employés</t>
  </si>
  <si>
    <t>A</t>
  </si>
  <si>
    <t>B</t>
  </si>
  <si>
    <t>C</t>
  </si>
  <si>
    <t>D</t>
  </si>
  <si>
    <t>Total 7h</t>
  </si>
  <si>
    <t>Total 9h</t>
  </si>
  <si>
    <t>Total 12h</t>
  </si>
  <si>
    <t>Total  O</t>
  </si>
  <si>
    <t>AGBODJAN Labilé Vanessa Roselyne</t>
  </si>
  <si>
    <t/>
  </si>
  <si>
    <t>MESSAN Komi Mawunyo Wilfried</t>
  </si>
  <si>
    <t>SIMONS de FANTI Amah Kakraba</t>
  </si>
  <si>
    <t>Max</t>
  </si>
  <si>
    <t>Min</t>
  </si>
  <si>
    <t>Total  Shift Matin</t>
  </si>
  <si>
    <t>Total  Shift après - Midi</t>
  </si>
  <si>
    <t>Total  Shift Off</t>
  </si>
  <si>
    <t>O</t>
  </si>
  <si>
    <t>Total Shift Congé</t>
  </si>
  <si>
    <t>Total Shift</t>
  </si>
  <si>
    <t>Prévision Day Shift</t>
  </si>
  <si>
    <t>Prévision Afternoon Shift</t>
  </si>
  <si>
    <t>Total CC prévu</t>
  </si>
  <si>
    <t>Ecart CC programmé</t>
  </si>
  <si>
    <t>Ecart CC prévu et CC nécessaire</t>
  </si>
  <si>
    <t>Effectifs CC Disponible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</si>
</sst>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"/>
    <numFmt numFmtId="165" formatCode="h:mm;@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ITC Avant Garde Std Bk"/>
      <family val="2"/>
    </font>
    <font>
      <sz val="11"/>
      <color theme="1"/>
      <name val="Calibri"/>
      <family val="2"/>
      <scheme val="minor"/>
    </font>
    <font>
      <sz val="11"/>
      <color theme="1"/>
      <name val="ITC Avant Garde Std Bk"/>
      <family val="2"/>
    </font>
    <font>
      <b/>
      <sz val="16"/>
      <color theme="0"/>
      <name val="ITC Avant Garde Std Bk"/>
      <family val="2"/>
    </font>
    <font>
      <b/>
      <sz val="14"/>
      <color rgb="FFFF0000"/>
      <name val="ITC Avant Garde Std Bk"/>
      <family val="2"/>
    </font>
    <font>
      <sz val="11"/>
      <color theme="0"/>
      <name val="ITC Avant Garde Std Bk"/>
      <family val="2"/>
    </font>
    <font>
      <b/>
      <sz val="11"/>
      <color theme="0"/>
      <name val="ITC Avant Garde Std Bk"/>
      <family val="2"/>
    </font>
    <font>
      <sz val="11"/>
      <color rgb="FFFF0000"/>
      <name val="ITC Avant Garde Std Bk"/>
      <family val="2"/>
    </font>
    <font>
      <sz val="11"/>
      <color rgb="FF00B050"/>
      <name val="ITC Avant Garde Std Bk"/>
      <family val="2"/>
    </font>
    <font>
      <b/>
      <sz val="14"/>
      <color theme="1"/>
      <name val="ITC Avant Garde Std Bk"/>
      <family val="2"/>
    </font>
    <font>
      <b/>
      <sz val="12"/>
      <color rgb="FFFF0000"/>
      <name val="ITC Avant Garde Std Bk"/>
      <family val="2"/>
    </font>
    <font>
      <b/>
      <sz val="11"/>
      <color theme="1"/>
      <name val="ITC Avant Garde Std Bk"/>
      <family val="2"/>
    </font>
    <font>
      <b/>
      <sz val="12"/>
      <color rgb="FFFFFF00"/>
      <name val="ITC Avant Garde Std Bk"/>
      <family val="2"/>
    </font>
    <font>
      <b/>
      <sz val="11"/>
      <color rgb="FFFFFF00"/>
      <name val="ITC Avant Garde Std Bk"/>
      <family val="2"/>
    </font>
    <font>
      <b/>
      <sz val="11"/>
      <color rgb="FFFF0000"/>
      <name val="ITC Avant Garde Std Bk"/>
      <family val="2"/>
    </font>
    <font>
      <b/>
      <i/>
      <sz val="12"/>
      <color rgb="FFFF0000"/>
      <name val="ITC Avant Garde Std Bk"/>
      <family val="2"/>
    </font>
    <font>
      <b/>
      <i/>
      <sz val="13"/>
      <color rgb="FFFF0000"/>
      <name val="ITC Avant Garde Std Bk"/>
      <family val="2"/>
    </font>
    <font>
      <b/>
      <i/>
      <sz val="14"/>
      <color rgb="FFFF0000"/>
      <name val="ITC Avant Garde Std Bk"/>
      <family val="2"/>
    </font>
    <font>
      <b/>
      <sz val="14"/>
      <color theme="0"/>
      <name val="ITC Avant Garde Std Bk"/>
      <family val="2"/>
    </font>
    <font>
      <b/>
      <sz val="12"/>
      <color theme="0"/>
      <name val="ITC Avant Garde Std Bk"/>
      <family val="2"/>
    </font>
    <font>
      <b/>
      <sz val="9"/>
      <color theme="0"/>
      <name val="ITC Avant Garde Std Bk"/>
      <family val="2"/>
    </font>
    <font>
      <b/>
      <sz val="18"/>
      <color rgb="FFFF0000"/>
      <name val="ITC Avant Garde Std Bk"/>
      <family val="2"/>
    </font>
    <font>
      <b/>
      <sz val="12"/>
      <color theme="0"/>
      <name val="Calibri"/>
      <family val="2"/>
      <scheme val="minor"/>
    </font>
    <font>
      <sz val="11"/>
      <name val="ITC Avant Garde Std Bk"/>
      <family val="2"/>
    </font>
    <font>
      <b/>
      <sz val="9"/>
      <name val="ITC Avant Garde Std Bk"/>
      <family val="2"/>
    </font>
    <font>
      <b/>
      <sz val="11"/>
      <name val="ITC Avant Garde Std Bk"/>
      <family val="2"/>
    </font>
    <font>
      <b/>
      <sz val="10"/>
      <name val="ITC Avant Garde Std Bk"/>
      <family val="2"/>
    </font>
  </fonts>
  <fills count="1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gradientFill type="path">
        <stop position="0">
          <color theme="3" tint="-0.25098422193060094"/>
        </stop>
        <stop position="1">
          <color rgb="FF00B050"/>
        </stop>
      </gradientFill>
    </fill>
    <fill>
      <gradientFill type="path">
        <stop position="0">
          <color theme="3" tint="-0.25098422193060094"/>
        </stop>
        <stop position="1">
          <color theme="2" tint="-0.89803765984069339"/>
        </stop>
      </gradientFill>
    </fill>
    <fill>
      <patternFill patternType="solid">
        <fgColor theme="3" tint="-0.249977111117893"/>
        <bgColor auto="1"/>
      </patternFill>
    </fill>
    <fill>
      <patternFill patternType="solid">
        <fgColor theme="0" tint="-0.249977111117893"/>
        <bgColor indexed="64"/>
      </patternFill>
    </fill>
    <fill>
      <gradientFill type="path"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rgb="FFFF6699"/>
        </stop>
        <stop position="1">
          <color rgb="FF00B050"/>
        </stop>
      </gradientFill>
    </fill>
    <fill>
      <patternFill patternType="solid">
        <fgColor theme="0" tint="-0.14999847407452621"/>
        <bgColor auto="1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</fills>
  <borders count="9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theme="0"/>
      </bottom>
      <diagonal/>
    </border>
    <border>
      <left/>
      <right style="thick">
        <color indexed="64"/>
      </right>
      <top style="thick">
        <color indexed="64"/>
      </top>
      <bottom style="thick">
        <color theme="0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theme="0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medium">
        <color indexed="64"/>
      </left>
      <right/>
      <top/>
      <bottom style="thick">
        <color theme="0"/>
      </bottom>
      <diagonal/>
    </border>
    <border>
      <left style="medium">
        <color indexed="64"/>
      </left>
      <right style="thick">
        <color indexed="64"/>
      </right>
      <top/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indexed="64"/>
      </right>
      <top style="thick">
        <color theme="0"/>
      </top>
      <bottom style="thick">
        <color theme="0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 style="thick">
        <color theme="0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theme="0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theme="0"/>
      </right>
      <top style="thick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0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0" fontId="3" fillId="0" borderId="0"/>
    <xf numFmtId="0" fontId="1" fillId="0" borderId="0"/>
  </cellStyleXfs>
  <cellXfs count="478">
    <xf numFmtId="0" fontId="0" fillId="0" borderId="0" xfId="0"/>
    <xf numFmtId="0" fontId="3" fillId="0" borderId="0" xfId="0" applyFont="1"/>
    <xf numFmtId="1" fontId="3" fillId="0" borderId="11" xfId="0" applyNumberFormat="1" applyFont="1" applyBorder="1"/>
    <xf numFmtId="1" fontId="3" fillId="0" borderId="12" xfId="0" applyNumberFormat="1" applyFont="1" applyBorder="1"/>
    <xf numFmtId="0" fontId="6" fillId="2" borderId="8" xfId="0" applyFont="1" applyFill="1" applyBorder="1"/>
    <xf numFmtId="0" fontId="6" fillId="2" borderId="10" xfId="0" applyFont="1" applyFill="1" applyBorder="1"/>
    <xf numFmtId="0" fontId="3" fillId="0" borderId="12" xfId="0" applyFont="1" applyBorder="1"/>
    <xf numFmtId="0" fontId="3" fillId="0" borderId="11" xfId="0" applyFont="1" applyBorder="1"/>
    <xf numFmtId="1" fontId="3" fillId="0" borderId="0" xfId="0" applyNumberFormat="1" applyFont="1"/>
    <xf numFmtId="3" fontId="3" fillId="0" borderId="0" xfId="0" applyNumberFormat="1" applyFont="1"/>
    <xf numFmtId="9" fontId="3" fillId="0" borderId="0" xfId="1" applyFont="1"/>
    <xf numFmtId="0" fontId="10" fillId="0" borderId="0" xfId="0" applyFont="1" applyAlignment="1">
      <alignment horizontal="centerContinuous"/>
    </xf>
    <xf numFmtId="0" fontId="3" fillId="0" borderId="0" xfId="0" applyFont="1" applyAlignment="1">
      <alignment horizontal="centerContinuous"/>
    </xf>
    <xf numFmtId="0" fontId="6" fillId="2" borderId="13" xfId="0" applyFont="1" applyFill="1" applyBorder="1"/>
    <xf numFmtId="0" fontId="11" fillId="3" borderId="3" xfId="0" applyFont="1" applyFill="1" applyBorder="1"/>
    <xf numFmtId="0" fontId="12" fillId="2" borderId="3" xfId="0" applyFont="1" applyFill="1" applyBorder="1"/>
    <xf numFmtId="14" fontId="9" fillId="2" borderId="3" xfId="0" applyNumberFormat="1" applyFont="1" applyFill="1" applyBorder="1"/>
    <xf numFmtId="0" fontId="3" fillId="2" borderId="3" xfId="0" applyFont="1" applyFill="1" applyBorder="1"/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6" fillId="2" borderId="2" xfId="0" applyFont="1" applyFill="1" applyBorder="1"/>
    <xf numFmtId="0" fontId="12" fillId="2" borderId="0" xfId="0" applyFont="1" applyFill="1" applyBorder="1"/>
    <xf numFmtId="3" fontId="5" fillId="3" borderId="0" xfId="0" applyNumberFormat="1" applyFont="1" applyFill="1" applyBorder="1"/>
    <xf numFmtId="0" fontId="3" fillId="2" borderId="0" xfId="0" applyFont="1" applyFill="1" applyBorder="1"/>
    <xf numFmtId="0" fontId="3" fillId="2" borderId="14" xfId="0" applyFont="1" applyFill="1" applyBorder="1"/>
    <xf numFmtId="3" fontId="13" fillId="2" borderId="0" xfId="0" applyNumberFormat="1" applyFont="1" applyFill="1" applyBorder="1"/>
    <xf numFmtId="3" fontId="13" fillId="2" borderId="14" xfId="0" applyNumberFormat="1" applyFont="1" applyFill="1" applyBorder="1"/>
    <xf numFmtId="14" fontId="7" fillId="2" borderId="0" xfId="0" applyNumberFormat="1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2" borderId="14" xfId="0" applyFont="1" applyFill="1" applyBorder="1" applyAlignment="1">
      <alignment horizontal="center"/>
    </xf>
    <xf numFmtId="0" fontId="7" fillId="2" borderId="5" xfId="0" applyFont="1" applyFill="1" applyBorder="1"/>
    <xf numFmtId="0" fontId="7" fillId="2" borderId="6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3" fillId="2" borderId="13" xfId="0" applyFont="1" applyFill="1" applyBorder="1"/>
    <xf numFmtId="0" fontId="14" fillId="2" borderId="3" xfId="0" applyFont="1" applyFill="1" applyBorder="1"/>
    <xf numFmtId="9" fontId="15" fillId="2" borderId="3" xfId="0" applyNumberFormat="1" applyFont="1" applyFill="1" applyBorder="1" applyAlignment="1">
      <alignment horizontal="center"/>
    </xf>
    <xf numFmtId="0" fontId="15" fillId="2" borderId="3" xfId="0" applyFont="1" applyFill="1" applyBorder="1"/>
    <xf numFmtId="0" fontId="3" fillId="2" borderId="2" xfId="0" applyFont="1" applyFill="1" applyBorder="1"/>
    <xf numFmtId="0" fontId="14" fillId="2" borderId="0" xfId="0" applyFont="1" applyFill="1" applyBorder="1"/>
    <xf numFmtId="0" fontId="15" fillId="2" borderId="0" xfId="0" applyFont="1" applyFill="1" applyBorder="1" applyAlignment="1">
      <alignment horizontal="center"/>
    </xf>
    <xf numFmtId="0" fontId="15" fillId="2" borderId="0" xfId="0" applyFont="1" applyFill="1" applyBorder="1"/>
    <xf numFmtId="9" fontId="15" fillId="2" borderId="0" xfId="0" applyNumberFormat="1" applyFont="1" applyFill="1" applyBorder="1" applyAlignment="1">
      <alignment horizontal="center"/>
    </xf>
    <xf numFmtId="0" fontId="6" fillId="2" borderId="0" xfId="0" applyFont="1" applyFill="1" applyBorder="1"/>
    <xf numFmtId="0" fontId="6" fillId="2" borderId="0" xfId="0" applyFont="1" applyFill="1" applyBorder="1" applyAlignment="1">
      <alignment horizontal="center"/>
    </xf>
    <xf numFmtId="0" fontId="6" fillId="2" borderId="14" xfId="0" applyFont="1" applyFill="1" applyBorder="1" applyAlignment="1">
      <alignment horizontal="center"/>
    </xf>
    <xf numFmtId="1" fontId="7" fillId="2" borderId="15" xfId="0" applyNumberFormat="1" applyFont="1" applyFill="1" applyBorder="1" applyAlignment="1">
      <alignment horizontal="center"/>
    </xf>
    <xf numFmtId="1" fontId="6" fillId="2" borderId="9" xfId="0" applyNumberFormat="1" applyFont="1" applyFill="1" applyBorder="1" applyAlignment="1">
      <alignment horizontal="center"/>
    </xf>
    <xf numFmtId="1" fontId="6" fillId="2" borderId="16" xfId="0" applyNumberFormat="1" applyFont="1" applyFill="1" applyBorder="1" applyAlignment="1">
      <alignment horizontal="center"/>
    </xf>
    <xf numFmtId="1" fontId="7" fillId="2" borderId="17" xfId="0" applyNumberFormat="1" applyFont="1" applyFill="1" applyBorder="1" applyAlignment="1">
      <alignment horizontal="center"/>
    </xf>
    <xf numFmtId="1" fontId="6" fillId="2" borderId="11" xfId="0" applyNumberFormat="1" applyFont="1" applyFill="1" applyBorder="1" applyAlignment="1">
      <alignment horizontal="center"/>
    </xf>
    <xf numFmtId="1" fontId="6" fillId="2" borderId="18" xfId="0" applyNumberFormat="1" applyFont="1" applyFill="1" applyBorder="1" applyAlignment="1">
      <alignment horizontal="center"/>
    </xf>
    <xf numFmtId="1" fontId="15" fillId="3" borderId="19" xfId="0" applyNumberFormat="1" applyFont="1" applyFill="1" applyBorder="1" applyAlignment="1">
      <alignment horizontal="center"/>
    </xf>
    <xf numFmtId="0" fontId="15" fillId="3" borderId="5" xfId="0" applyFont="1" applyFill="1" applyBorder="1"/>
    <xf numFmtId="0" fontId="8" fillId="3" borderId="6" xfId="0" applyFont="1" applyFill="1" applyBorder="1"/>
    <xf numFmtId="1" fontId="15" fillId="3" borderId="6" xfId="0" applyNumberFormat="1" applyFont="1" applyFill="1" applyBorder="1" applyAlignment="1">
      <alignment horizontal="center" vertical="center"/>
    </xf>
    <xf numFmtId="0" fontId="3" fillId="2" borderId="6" xfId="0" applyFont="1" applyFill="1" applyBorder="1"/>
    <xf numFmtId="1" fontId="10" fillId="4" borderId="1" xfId="0" applyNumberFormat="1" applyFont="1" applyFill="1" applyBorder="1" applyAlignment="1">
      <alignment horizontal="center" vertical="center"/>
    </xf>
    <xf numFmtId="0" fontId="3" fillId="0" borderId="0" xfId="2"/>
    <xf numFmtId="0" fontId="19" fillId="5" borderId="13" xfId="2" applyFont="1" applyFill="1" applyBorder="1" applyAlignment="1">
      <alignment horizontal="centerContinuous"/>
    </xf>
    <xf numFmtId="0" fontId="19" fillId="5" borderId="20" xfId="2" applyFont="1" applyFill="1" applyBorder="1" applyAlignment="1">
      <alignment horizontal="centerContinuous"/>
    </xf>
    <xf numFmtId="0" fontId="19" fillId="5" borderId="1" xfId="2" applyFont="1" applyFill="1" applyBorder="1" applyAlignment="1">
      <alignment horizontal="centerContinuous"/>
    </xf>
    <xf numFmtId="0" fontId="19" fillId="5" borderId="21" xfId="2" applyFont="1" applyFill="1" applyBorder="1" applyAlignment="1">
      <alignment horizontal="centerContinuous"/>
    </xf>
    <xf numFmtId="0" fontId="19" fillId="5" borderId="22" xfId="2" applyFont="1" applyFill="1" applyBorder="1" applyAlignment="1">
      <alignment horizontal="centerContinuous"/>
    </xf>
    <xf numFmtId="14" fontId="20" fillId="5" borderId="20" xfId="2" applyNumberFormat="1" applyFont="1" applyFill="1" applyBorder="1" applyAlignment="1">
      <alignment horizontal="centerContinuous"/>
    </xf>
    <xf numFmtId="0" fontId="7" fillId="5" borderId="20" xfId="2" applyFont="1" applyFill="1" applyBorder="1" applyAlignment="1">
      <alignment horizontal="centerContinuous"/>
    </xf>
    <xf numFmtId="0" fontId="7" fillId="5" borderId="20" xfId="2" applyFont="1" applyFill="1" applyBorder="1" applyAlignment="1">
      <alignment horizontal="centerContinuous" vertical="center"/>
    </xf>
    <xf numFmtId="0" fontId="7" fillId="5" borderId="1" xfId="2" applyNumberFormat="1" applyFont="1" applyFill="1" applyBorder="1" applyAlignment="1">
      <alignment horizontal="center" vertical="center"/>
    </xf>
    <xf numFmtId="0" fontId="20" fillId="5" borderId="5" xfId="2" applyFont="1" applyFill="1" applyBorder="1"/>
    <xf numFmtId="0" fontId="20" fillId="5" borderId="20" xfId="2" applyFont="1" applyFill="1" applyBorder="1"/>
    <xf numFmtId="0" fontId="7" fillId="5" borderId="20" xfId="2" applyFont="1" applyFill="1" applyBorder="1" applyAlignment="1">
      <alignment horizontal="center" vertical="center"/>
    </xf>
    <xf numFmtId="0" fontId="0" fillId="0" borderId="23" xfId="0" applyBorder="1"/>
    <xf numFmtId="0" fontId="3" fillId="0" borderId="24" xfId="2" applyBorder="1"/>
    <xf numFmtId="0" fontId="3" fillId="0" borderId="0" xfId="2" applyBorder="1"/>
    <xf numFmtId="0" fontId="3" fillId="0" borderId="25" xfId="2" applyBorder="1"/>
    <xf numFmtId="0" fontId="3" fillId="0" borderId="26" xfId="2" applyBorder="1"/>
    <xf numFmtId="0" fontId="3" fillId="0" borderId="6" xfId="2" applyBorder="1"/>
    <xf numFmtId="0" fontId="19" fillId="5" borderId="30" xfId="2" applyFont="1" applyFill="1" applyBorder="1"/>
    <xf numFmtId="0" fontId="20" fillId="5" borderId="30" xfId="2" applyFont="1" applyFill="1" applyBorder="1" applyAlignment="1">
      <alignment horizontal="centerContinuous" vertical="center"/>
    </xf>
    <xf numFmtId="0" fontId="19" fillId="5" borderId="31" xfId="2" applyFont="1" applyFill="1" applyBorder="1" applyAlignment="1">
      <alignment horizontal="centerContinuous"/>
    </xf>
    <xf numFmtId="0" fontId="3" fillId="0" borderId="32" xfId="2" applyBorder="1"/>
    <xf numFmtId="0" fontId="7" fillId="5" borderId="30" xfId="2" applyFont="1" applyFill="1" applyBorder="1"/>
    <xf numFmtId="14" fontId="7" fillId="5" borderId="30" xfId="2" applyNumberFormat="1" applyFont="1" applyFill="1" applyBorder="1" applyAlignment="1">
      <alignment horizontal="centerContinuous"/>
    </xf>
    <xf numFmtId="14" fontId="7" fillId="5" borderId="31" xfId="2" applyNumberFormat="1" applyFont="1" applyFill="1" applyBorder="1" applyAlignment="1">
      <alignment horizontal="centerContinuous"/>
    </xf>
    <xf numFmtId="0" fontId="20" fillId="5" borderId="30" xfId="2" applyFont="1" applyFill="1" applyBorder="1"/>
    <xf numFmtId="0" fontId="20" fillId="5" borderId="30" xfId="2" applyFont="1" applyFill="1" applyBorder="1" applyAlignment="1">
      <alignment horizontal="centerContinuous"/>
    </xf>
    <xf numFmtId="0" fontId="20" fillId="5" borderId="31" xfId="2" applyFont="1" applyFill="1" applyBorder="1" applyAlignment="1">
      <alignment horizontal="centerContinuous"/>
    </xf>
    <xf numFmtId="0" fontId="3" fillId="0" borderId="33" xfId="2" applyBorder="1"/>
    <xf numFmtId="0" fontId="3" fillId="0" borderId="34" xfId="2" applyBorder="1"/>
    <xf numFmtId="164" fontId="22" fillId="6" borderId="0" xfId="2" applyNumberFormat="1" applyFont="1" applyFill="1" applyBorder="1" applyAlignment="1">
      <alignment horizontal="centerContinuous" vertical="center"/>
    </xf>
    <xf numFmtId="164" fontId="22" fillId="6" borderId="2" xfId="2" applyNumberFormat="1" applyFont="1" applyFill="1" applyBorder="1" applyAlignment="1">
      <alignment horizontal="centerContinuous" vertical="center"/>
    </xf>
    <xf numFmtId="164" fontId="22" fillId="6" borderId="37" xfId="2" applyNumberFormat="1" applyFont="1" applyFill="1" applyBorder="1" applyAlignment="1">
      <alignment horizontal="centerContinuous" vertical="center"/>
    </xf>
    <xf numFmtId="164" fontId="22" fillId="6" borderId="38" xfId="2" applyNumberFormat="1" applyFont="1" applyFill="1" applyBorder="1" applyAlignment="1">
      <alignment horizontal="centerContinuous" vertical="center"/>
    </xf>
    <xf numFmtId="164" fontId="22" fillId="6" borderId="39" xfId="2" applyNumberFormat="1" applyFont="1" applyFill="1" applyBorder="1" applyAlignment="1">
      <alignment horizontal="centerContinuous" vertical="center"/>
    </xf>
    <xf numFmtId="164" fontId="22" fillId="6" borderId="40" xfId="2" applyNumberFormat="1" applyFont="1" applyFill="1" applyBorder="1" applyAlignment="1">
      <alignment horizontal="centerContinuous" vertical="center"/>
    </xf>
    <xf numFmtId="0" fontId="23" fillId="5" borderId="41" xfId="0" applyFont="1" applyFill="1" applyBorder="1" applyAlignment="1">
      <alignment horizontal="center" vertical="center" textRotation="90"/>
    </xf>
    <xf numFmtId="0" fontId="23" fillId="5" borderId="42" xfId="0" applyFont="1" applyFill="1" applyBorder="1" applyAlignment="1">
      <alignment horizontal="center" vertical="center" textRotation="90"/>
    </xf>
    <xf numFmtId="0" fontId="23" fillId="5" borderId="43" xfId="0" applyFont="1" applyFill="1" applyBorder="1" applyAlignment="1">
      <alignment horizontal="center" vertical="center" textRotation="90"/>
    </xf>
    <xf numFmtId="0" fontId="23" fillId="5" borderId="44" xfId="0" applyFont="1" applyFill="1" applyBorder="1" applyAlignment="1">
      <alignment horizontal="center" vertical="center" textRotation="90"/>
    </xf>
    <xf numFmtId="164" fontId="15" fillId="6" borderId="46" xfId="2" applyNumberFormat="1" applyFont="1" applyFill="1" applyBorder="1" applyAlignment="1">
      <alignment horizontal="center" vertical="center"/>
    </xf>
    <xf numFmtId="164" fontId="15" fillId="6" borderId="31" xfId="2" applyNumberFormat="1" applyFont="1" applyFill="1" applyBorder="1" applyAlignment="1">
      <alignment horizontal="center" vertical="center"/>
    </xf>
    <xf numFmtId="164" fontId="15" fillId="6" borderId="41" xfId="2" applyNumberFormat="1" applyFont="1" applyFill="1" applyBorder="1" applyAlignment="1">
      <alignment horizontal="center" vertical="center"/>
    </xf>
    <xf numFmtId="164" fontId="15" fillId="6" borderId="42" xfId="2" applyNumberFormat="1" applyFont="1" applyFill="1" applyBorder="1" applyAlignment="1">
      <alignment horizontal="center" vertical="center"/>
    </xf>
    <xf numFmtId="164" fontId="15" fillId="6" borderId="43" xfId="2" applyNumberFormat="1" applyFont="1" applyFill="1" applyBorder="1" applyAlignment="1">
      <alignment horizontal="center" vertical="center"/>
    </xf>
    <xf numFmtId="164" fontId="15" fillId="6" borderId="44" xfId="2" applyNumberFormat="1" applyFont="1" applyFill="1" applyBorder="1" applyAlignment="1">
      <alignment horizontal="center" vertical="center"/>
    </xf>
    <xf numFmtId="164" fontId="15" fillId="6" borderId="47" xfId="2" applyNumberFormat="1" applyFont="1" applyFill="1" applyBorder="1" applyAlignment="1">
      <alignment horizontal="center" vertical="center"/>
    </xf>
    <xf numFmtId="164" fontId="15" fillId="6" borderId="0" xfId="2" applyNumberFormat="1" applyFont="1" applyFill="1" applyAlignment="1">
      <alignment horizontal="center" vertical="center"/>
    </xf>
    <xf numFmtId="164" fontId="15" fillId="6" borderId="35" xfId="2" applyNumberFormat="1" applyFont="1" applyFill="1" applyBorder="1" applyAlignment="1">
      <alignment horizontal="center" vertical="center"/>
    </xf>
    <xf numFmtId="0" fontId="24" fillId="0" borderId="48" xfId="2" applyFont="1" applyBorder="1"/>
    <xf numFmtId="0" fontId="25" fillId="0" borderId="49" xfId="2" applyFont="1" applyFill="1" applyBorder="1"/>
    <xf numFmtId="165" fontId="25" fillId="0" borderId="12" xfId="2" applyNumberFormat="1" applyFont="1" applyFill="1" applyBorder="1"/>
    <xf numFmtId="165" fontId="25" fillId="0" borderId="50" xfId="2" applyNumberFormat="1" applyFont="1" applyFill="1" applyBorder="1"/>
    <xf numFmtId="165" fontId="26" fillId="0" borderId="49" xfId="2" applyNumberFormat="1" applyFont="1" applyFill="1" applyBorder="1" applyAlignment="1">
      <alignment horizontal="center" vertical="center"/>
    </xf>
    <xf numFmtId="165" fontId="26" fillId="0" borderId="51" xfId="2" applyNumberFormat="1" applyFont="1" applyFill="1" applyBorder="1" applyAlignment="1">
      <alignment horizontal="center" vertical="center"/>
    </xf>
    <xf numFmtId="0" fontId="27" fillId="0" borderId="52" xfId="2" applyNumberFormat="1" applyFont="1" applyFill="1" applyBorder="1" applyAlignment="1">
      <alignment horizontal="center" vertical="center"/>
    </xf>
    <xf numFmtId="0" fontId="27" fillId="0" borderId="11" xfId="2" applyNumberFormat="1" applyFont="1" applyFill="1" applyBorder="1" applyAlignment="1">
      <alignment horizontal="center" vertical="center"/>
    </xf>
    <xf numFmtId="0" fontId="27" fillId="0" borderId="53" xfId="2" applyNumberFormat="1" applyFont="1" applyFill="1" applyBorder="1" applyAlignment="1">
      <alignment horizontal="center" vertical="center"/>
    </xf>
    <xf numFmtId="0" fontId="24" fillId="0" borderId="0" xfId="2" applyFont="1"/>
    <xf numFmtId="0" fontId="24" fillId="0" borderId="53" xfId="2" applyFont="1" applyBorder="1"/>
    <xf numFmtId="165" fontId="25" fillId="0" borderId="11" xfId="2" applyNumberFormat="1" applyFont="1" applyFill="1" applyBorder="1"/>
    <xf numFmtId="165" fontId="25" fillId="0" borderId="53" xfId="2" applyNumberFormat="1" applyFont="1" applyFill="1" applyBorder="1"/>
    <xf numFmtId="165" fontId="26" fillId="0" borderId="54" xfId="2" applyNumberFormat="1" applyFont="1" applyFill="1" applyBorder="1" applyAlignment="1">
      <alignment horizontal="center" vertical="center"/>
    </xf>
    <xf numFmtId="0" fontId="24" fillId="0" borderId="50" xfId="2" applyFont="1" applyBorder="1"/>
    <xf numFmtId="0" fontId="24" fillId="0" borderId="18" xfId="2" applyFont="1" applyBorder="1"/>
    <xf numFmtId="0" fontId="3" fillId="0" borderId="11" xfId="2" applyBorder="1"/>
    <xf numFmtId="165" fontId="25" fillId="0" borderId="18" xfId="2" applyNumberFormat="1" applyFont="1" applyFill="1" applyBorder="1"/>
    <xf numFmtId="165" fontId="3" fillId="0" borderId="10" xfId="2" applyNumberFormat="1" applyBorder="1"/>
    <xf numFmtId="165" fontId="3" fillId="0" borderId="11" xfId="2" applyNumberFormat="1" applyBorder="1"/>
    <xf numFmtId="165" fontId="3" fillId="0" borderId="55" xfId="2" applyNumberFormat="1" applyBorder="1"/>
    <xf numFmtId="165" fontId="3" fillId="0" borderId="52" xfId="2" applyNumberFormat="1" applyBorder="1"/>
    <xf numFmtId="165" fontId="3" fillId="0" borderId="53" xfId="2" applyNumberFormat="1" applyBorder="1"/>
    <xf numFmtId="0" fontId="3" fillId="0" borderId="10" xfId="2" applyBorder="1"/>
    <xf numFmtId="0" fontId="3" fillId="0" borderId="55" xfId="2" applyBorder="1"/>
    <xf numFmtId="0" fontId="3" fillId="0" borderId="52" xfId="2" applyBorder="1"/>
    <xf numFmtId="0" fontId="3" fillId="0" borderId="53" xfId="2" applyBorder="1"/>
    <xf numFmtId="0" fontId="24" fillId="0" borderId="56" xfId="2" applyFont="1" applyBorder="1"/>
    <xf numFmtId="0" fontId="3" fillId="0" borderId="57" xfId="2" applyBorder="1"/>
    <xf numFmtId="165" fontId="25" fillId="0" borderId="58" xfId="2" applyNumberFormat="1" applyFont="1" applyFill="1" applyBorder="1"/>
    <xf numFmtId="165" fontId="25" fillId="0" borderId="59" xfId="2" applyNumberFormat="1" applyFont="1" applyFill="1" applyBorder="1"/>
    <xf numFmtId="0" fontId="3" fillId="0" borderId="60" xfId="2" applyBorder="1"/>
    <xf numFmtId="0" fontId="3" fillId="0" borderId="58" xfId="2" applyBorder="1"/>
    <xf numFmtId="0" fontId="3" fillId="0" borderId="61" xfId="2" applyBorder="1"/>
    <xf numFmtId="0" fontId="3" fillId="0" borderId="62" xfId="2" applyBorder="1"/>
    <xf numFmtId="0" fontId="3" fillId="0" borderId="63" xfId="2" applyBorder="1"/>
    <xf numFmtId="0" fontId="3" fillId="0" borderId="28" xfId="2" applyBorder="1"/>
    <xf numFmtId="0" fontId="3" fillId="0" borderId="64" xfId="2" applyBorder="1"/>
    <xf numFmtId="165" fontId="25" fillId="0" borderId="65" xfId="2" applyNumberFormat="1" applyFont="1" applyFill="1" applyBorder="1"/>
    <xf numFmtId="0" fontId="21" fillId="7" borderId="49" xfId="2" applyFont="1" applyFill="1" applyBorder="1"/>
    <xf numFmtId="0" fontId="21" fillId="7" borderId="12" xfId="2" applyFont="1" applyFill="1" applyBorder="1"/>
    <xf numFmtId="0" fontId="21" fillId="7" borderId="50" xfId="2" applyFont="1" applyFill="1" applyBorder="1"/>
    <xf numFmtId="0" fontId="19" fillId="8" borderId="27" xfId="2" applyFont="1" applyFill="1" applyBorder="1"/>
    <xf numFmtId="0" fontId="19" fillId="8" borderId="28" xfId="2" applyFont="1" applyFill="1" applyBorder="1"/>
    <xf numFmtId="0" fontId="19" fillId="8" borderId="29" xfId="2" applyFont="1" applyFill="1" applyBorder="1"/>
    <xf numFmtId="0" fontId="19" fillId="7" borderId="27" xfId="2" applyFont="1" applyFill="1" applyBorder="1"/>
    <xf numFmtId="0" fontId="19" fillId="7" borderId="29" xfId="2" applyFont="1" applyFill="1" applyBorder="1"/>
    <xf numFmtId="0" fontId="19" fillId="7" borderId="66" xfId="2" applyFont="1" applyFill="1" applyBorder="1"/>
    <xf numFmtId="0" fontId="21" fillId="7" borderId="52" xfId="2" applyFont="1" applyFill="1" applyBorder="1"/>
    <xf numFmtId="0" fontId="21" fillId="7" borderId="11" xfId="2" applyFont="1" applyFill="1" applyBorder="1"/>
    <xf numFmtId="0" fontId="21" fillId="7" borderId="53" xfId="2" applyFont="1" applyFill="1" applyBorder="1"/>
    <xf numFmtId="0" fontId="19" fillId="8" borderId="36" xfId="2" applyFont="1" applyFill="1" applyBorder="1"/>
    <xf numFmtId="0" fontId="19" fillId="8" borderId="0" xfId="2" applyFont="1" applyFill="1" applyBorder="1"/>
    <xf numFmtId="0" fontId="19" fillId="8" borderId="24" xfId="2" applyFont="1" applyFill="1" applyBorder="1"/>
    <xf numFmtId="0" fontId="19" fillId="7" borderId="36" xfId="2" applyFont="1" applyFill="1" applyBorder="1"/>
    <xf numFmtId="0" fontId="19" fillId="7" borderId="24" xfId="2" applyFont="1" applyFill="1" applyBorder="1"/>
    <xf numFmtId="0" fontId="19" fillId="7" borderId="67" xfId="2" applyFont="1" applyFill="1" applyBorder="1"/>
    <xf numFmtId="0" fontId="21" fillId="7" borderId="68" xfId="2" applyFont="1" applyFill="1" applyBorder="1"/>
    <xf numFmtId="0" fontId="21" fillId="7" borderId="57" xfId="2" applyFont="1" applyFill="1" applyBorder="1"/>
    <xf numFmtId="0" fontId="21" fillId="7" borderId="69" xfId="2" applyFont="1" applyFill="1" applyBorder="1"/>
    <xf numFmtId="0" fontId="19" fillId="8" borderId="33" xfId="2" applyFont="1" applyFill="1" applyBorder="1"/>
    <xf numFmtId="0" fontId="19" fillId="8" borderId="23" xfId="2" applyFont="1" applyFill="1" applyBorder="1"/>
    <xf numFmtId="0" fontId="19" fillId="8" borderId="34" xfId="2" applyFont="1" applyFill="1" applyBorder="1"/>
    <xf numFmtId="0" fontId="19" fillId="7" borderId="33" xfId="2" applyFont="1" applyFill="1" applyBorder="1"/>
    <xf numFmtId="0" fontId="19" fillId="7" borderId="34" xfId="2" applyFont="1" applyFill="1" applyBorder="1"/>
    <xf numFmtId="0" fontId="19" fillId="7" borderId="70" xfId="2" applyFont="1" applyFill="1" applyBorder="1"/>
    <xf numFmtId="0" fontId="24" fillId="0" borderId="0" xfId="2" applyFont="1" applyFill="1" applyBorder="1" applyAlignment="1">
      <alignment horizontal="left" vertical="center"/>
    </xf>
    <xf numFmtId="0" fontId="12" fillId="0" borderId="0" xfId="2" applyFont="1" applyBorder="1" applyAlignment="1">
      <alignment horizontal="center" vertical="center"/>
    </xf>
    <xf numFmtId="0" fontId="3" fillId="0" borderId="0" xfId="2" applyFill="1" applyBorder="1" applyAlignment="1">
      <alignment horizontal="center"/>
    </xf>
    <xf numFmtId="1" fontId="3" fillId="9" borderId="47" xfId="2" applyNumberFormat="1" applyFill="1" applyBorder="1" applyAlignment="1">
      <alignment horizontal="center" vertical="center"/>
    </xf>
    <xf numFmtId="1" fontId="3" fillId="9" borderId="73" xfId="2" applyNumberFormat="1" applyFill="1" applyBorder="1" applyAlignment="1">
      <alignment horizontal="center" vertical="center"/>
    </xf>
    <xf numFmtId="1" fontId="3" fillId="9" borderId="76" xfId="2" applyNumberFormat="1" applyFill="1" applyBorder="1" applyAlignment="1">
      <alignment horizontal="center" vertical="center"/>
    </xf>
    <xf numFmtId="1" fontId="3" fillId="9" borderId="77" xfId="2" applyNumberFormat="1" applyFill="1" applyBorder="1" applyAlignment="1">
      <alignment horizontal="center" vertical="center"/>
    </xf>
    <xf numFmtId="0" fontId="3" fillId="0" borderId="23" xfId="2" applyBorder="1"/>
    <xf numFmtId="0" fontId="7" fillId="2" borderId="27" xfId="2" applyFont="1" applyFill="1" applyBorder="1" applyAlignment="1">
      <alignment horizontal="center"/>
    </xf>
    <xf numFmtId="0" fontId="7" fillId="2" borderId="28" xfId="2" applyFont="1" applyFill="1" applyBorder="1" applyAlignment="1">
      <alignment horizontal="center"/>
    </xf>
    <xf numFmtId="0" fontId="7" fillId="2" borderId="29" xfId="2" applyFont="1" applyFill="1" applyBorder="1" applyAlignment="1">
      <alignment horizontal="center"/>
    </xf>
    <xf numFmtId="1" fontId="12" fillId="9" borderId="78" xfId="0" applyNumberFormat="1" applyFont="1" applyFill="1" applyBorder="1" applyAlignment="1">
      <alignment horizontal="center" vertical="center"/>
    </xf>
    <xf numFmtId="1" fontId="12" fillId="9" borderId="49" xfId="0" applyNumberFormat="1" applyFont="1" applyFill="1" applyBorder="1" applyAlignment="1">
      <alignment horizontal="center" vertical="center"/>
    </xf>
    <xf numFmtId="1" fontId="12" fillId="9" borderId="12" xfId="0" applyNumberFormat="1" applyFont="1" applyFill="1" applyBorder="1" applyAlignment="1">
      <alignment horizontal="center" vertical="center"/>
    </xf>
    <xf numFmtId="20" fontId="3" fillId="10" borderId="0" xfId="2" applyNumberFormat="1" applyFill="1"/>
    <xf numFmtId="1" fontId="0" fillId="11" borderId="79" xfId="0" applyNumberFormat="1" applyFill="1" applyBorder="1" applyAlignment="1">
      <alignment horizontal="center" vertical="center"/>
    </xf>
    <xf numFmtId="1" fontId="0" fillId="11" borderId="80" xfId="0" applyNumberFormat="1" applyFill="1" applyBorder="1" applyAlignment="1">
      <alignment horizontal="center" vertical="center"/>
    </xf>
    <xf numFmtId="1" fontId="0" fillId="11" borderId="81" xfId="0" applyNumberFormat="1" applyFill="1" applyBorder="1" applyAlignment="1">
      <alignment horizontal="center" vertical="center"/>
    </xf>
    <xf numFmtId="1" fontId="12" fillId="0" borderId="82" xfId="0" applyNumberFormat="1" applyFont="1" applyBorder="1" applyAlignment="1">
      <alignment horizontal="center" vertical="center"/>
    </xf>
    <xf numFmtId="1" fontId="12" fillId="0" borderId="83" xfId="0" applyNumberFormat="1" applyFont="1" applyBorder="1" applyAlignment="1">
      <alignment horizontal="center" vertical="center"/>
    </xf>
    <xf numFmtId="1" fontId="12" fillId="0" borderId="52" xfId="0" applyNumberFormat="1" applyFont="1" applyBorder="1" applyAlignment="1">
      <alignment horizontal="center" vertical="center"/>
    </xf>
    <xf numFmtId="1" fontId="0" fillId="11" borderId="84" xfId="0" applyNumberFormat="1" applyFill="1" applyBorder="1" applyAlignment="1">
      <alignment horizontal="center" vertical="center"/>
    </xf>
    <xf numFmtId="1" fontId="0" fillId="11" borderId="18" xfId="0" applyNumberFormat="1" applyFill="1" applyBorder="1" applyAlignment="1">
      <alignment horizontal="center" vertical="center"/>
    </xf>
    <xf numFmtId="1" fontId="0" fillId="11" borderId="11" xfId="0" applyNumberFormat="1" applyFill="1" applyBorder="1" applyAlignment="1">
      <alignment horizontal="center" vertical="center"/>
    </xf>
    <xf numFmtId="1" fontId="0" fillId="11" borderId="52" xfId="0" applyNumberFormat="1" applyFill="1" applyBorder="1" applyAlignment="1">
      <alignment horizontal="center" vertical="center"/>
    </xf>
    <xf numFmtId="1" fontId="12" fillId="9" borderId="10" xfId="0" applyNumberFormat="1" applyFont="1" applyFill="1" applyBorder="1" applyAlignment="1">
      <alignment horizontal="center" vertical="center"/>
    </xf>
    <xf numFmtId="1" fontId="12" fillId="9" borderId="52" xfId="0" applyNumberFormat="1" applyFont="1" applyFill="1" applyBorder="1" applyAlignment="1">
      <alignment horizontal="center" vertical="center"/>
    </xf>
    <xf numFmtId="1" fontId="12" fillId="9" borderId="11" xfId="0" applyNumberFormat="1" applyFont="1" applyFill="1" applyBorder="1" applyAlignment="1">
      <alignment horizontal="center" vertical="center"/>
    </xf>
    <xf numFmtId="165" fontId="26" fillId="0" borderId="83" xfId="2" applyNumberFormat="1" applyFont="1" applyFill="1" applyBorder="1" applyAlignment="1">
      <alignment horizontal="center" vertical="center"/>
    </xf>
    <xf numFmtId="1" fontId="0" fillId="11" borderId="85" xfId="0" applyNumberFormat="1" applyFill="1" applyBorder="1" applyAlignment="1">
      <alignment horizontal="center" vertical="center"/>
    </xf>
    <xf numFmtId="1" fontId="0" fillId="11" borderId="53" xfId="0" applyNumberFormat="1" applyFill="1" applyBorder="1" applyAlignment="1">
      <alignment horizontal="center" vertical="center"/>
    </xf>
    <xf numFmtId="1" fontId="12" fillId="9" borderId="86" xfId="0" applyNumberFormat="1" applyFont="1" applyFill="1" applyBorder="1" applyAlignment="1">
      <alignment horizontal="center" vertical="center"/>
    </xf>
    <xf numFmtId="1" fontId="12" fillId="9" borderId="75" xfId="0" applyNumberFormat="1" applyFont="1" applyFill="1" applyBorder="1" applyAlignment="1">
      <alignment horizontal="center" vertical="center"/>
    </xf>
    <xf numFmtId="1" fontId="12" fillId="9" borderId="87" xfId="0" applyNumberFormat="1" applyFont="1" applyFill="1" applyBorder="1" applyAlignment="1">
      <alignment horizontal="center" vertical="center"/>
    </xf>
    <xf numFmtId="165" fontId="26" fillId="0" borderId="76" xfId="2" applyNumberFormat="1" applyFont="1" applyFill="1" applyBorder="1" applyAlignment="1">
      <alignment horizontal="center" vertical="center"/>
    </xf>
    <xf numFmtId="1" fontId="0" fillId="11" borderId="88" xfId="0" applyNumberFormat="1" applyFill="1" applyBorder="1" applyAlignment="1">
      <alignment horizontal="center" vertical="center"/>
    </xf>
    <xf numFmtId="1" fontId="0" fillId="11" borderId="57" xfId="0" applyNumberFormat="1" applyFill="1" applyBorder="1" applyAlignment="1">
      <alignment horizontal="center" vertical="center"/>
    </xf>
    <xf numFmtId="1" fontId="0" fillId="11" borderId="69" xfId="0" applyNumberFormat="1" applyFill="1" applyBorder="1" applyAlignment="1">
      <alignment horizontal="center" vertical="center"/>
    </xf>
    <xf numFmtId="1" fontId="15" fillId="0" borderId="71" xfId="0" applyNumberFormat="1" applyFont="1" applyBorder="1" applyAlignment="1">
      <alignment horizontal="center" vertical="center"/>
    </xf>
    <xf numFmtId="1" fontId="15" fillId="0" borderId="47" xfId="0" applyNumberFormat="1" applyFont="1" applyBorder="1" applyAlignment="1">
      <alignment horizontal="center" vertical="center"/>
    </xf>
    <xf numFmtId="1" fontId="15" fillId="0" borderId="72" xfId="0" applyNumberFormat="1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1" fontId="15" fillId="12" borderId="89" xfId="0" applyNumberFormat="1" applyFont="1" applyFill="1" applyBorder="1" applyAlignment="1">
      <alignment horizontal="center" vertical="center"/>
    </xf>
    <xf numFmtId="1" fontId="15" fillId="12" borderId="12" xfId="0" applyNumberFormat="1" applyFont="1" applyFill="1" applyBorder="1" applyAlignment="1">
      <alignment horizontal="center" vertical="center"/>
    </xf>
    <xf numFmtId="1" fontId="15" fillId="12" borderId="50" xfId="0" applyNumberFormat="1" applyFont="1" applyFill="1" applyBorder="1" applyAlignment="1">
      <alignment horizontal="center" vertical="center"/>
    </xf>
    <xf numFmtId="1" fontId="15" fillId="12" borderId="49" xfId="0" applyNumberFormat="1" applyFont="1" applyFill="1" applyBorder="1" applyAlignment="1">
      <alignment horizontal="center" vertical="center"/>
    </xf>
    <xf numFmtId="1" fontId="15" fillId="9" borderId="10" xfId="0" applyNumberFormat="1" applyFont="1" applyFill="1" applyBorder="1" applyAlignment="1">
      <alignment horizontal="center" vertical="center"/>
    </xf>
    <xf numFmtId="1" fontId="15" fillId="9" borderId="52" xfId="0" applyNumberFormat="1" applyFont="1" applyFill="1" applyBorder="1" applyAlignment="1">
      <alignment horizontal="center" vertical="center"/>
    </xf>
    <xf numFmtId="1" fontId="15" fillId="9" borderId="11" xfId="0" applyNumberFormat="1" applyFont="1" applyFill="1" applyBorder="1" applyAlignment="1">
      <alignment horizontal="center" vertical="center"/>
    </xf>
    <xf numFmtId="1" fontId="15" fillId="9" borderId="18" xfId="0" applyNumberFormat="1" applyFont="1" applyFill="1" applyBorder="1" applyAlignment="1">
      <alignment horizontal="center" vertical="center"/>
    </xf>
    <xf numFmtId="1" fontId="15" fillId="12" borderId="85" xfId="0" applyNumberFormat="1" applyFont="1" applyFill="1" applyBorder="1" applyAlignment="1">
      <alignment horizontal="center" vertical="center"/>
    </xf>
    <xf numFmtId="1" fontId="15" fillId="12" borderId="11" xfId="0" applyNumberFormat="1" applyFont="1" applyFill="1" applyBorder="1" applyAlignment="1">
      <alignment horizontal="center" vertical="center"/>
    </xf>
    <xf numFmtId="1" fontId="15" fillId="12" borderId="53" xfId="0" applyNumberFormat="1" applyFont="1" applyFill="1" applyBorder="1" applyAlignment="1">
      <alignment horizontal="center" vertical="center"/>
    </xf>
    <xf numFmtId="1" fontId="15" fillId="12" borderId="52" xfId="0" applyNumberFormat="1" applyFont="1" applyFill="1" applyBorder="1" applyAlignment="1">
      <alignment horizontal="center" vertical="center"/>
    </xf>
    <xf numFmtId="1" fontId="15" fillId="0" borderId="74" xfId="0" applyNumberFormat="1" applyFont="1" applyBorder="1" applyAlignment="1">
      <alignment horizontal="center" vertical="center"/>
    </xf>
    <xf numFmtId="1" fontId="15" fillId="0" borderId="76" xfId="0" applyNumberFormat="1" applyFont="1" applyBorder="1" applyAlignment="1">
      <alignment horizontal="center" vertical="center"/>
    </xf>
    <xf numFmtId="1" fontId="15" fillId="0" borderId="75" xfId="0" applyNumberFormat="1" applyFont="1" applyBorder="1" applyAlignment="1">
      <alignment horizontal="center" vertical="center"/>
    </xf>
    <xf numFmtId="0" fontId="15" fillId="0" borderId="90" xfId="0" applyFont="1" applyBorder="1" applyAlignment="1">
      <alignment horizontal="center" vertical="center"/>
    </xf>
    <xf numFmtId="1" fontId="15" fillId="12" borderId="91" xfId="0" applyNumberFormat="1" applyFont="1" applyFill="1" applyBorder="1" applyAlignment="1">
      <alignment horizontal="center" vertical="center"/>
    </xf>
    <xf numFmtId="1" fontId="15" fillId="12" borderId="87" xfId="0" applyNumberFormat="1" applyFont="1" applyFill="1" applyBorder="1" applyAlignment="1">
      <alignment horizontal="center" vertical="center"/>
    </xf>
    <xf numFmtId="1" fontId="15" fillId="12" borderId="92" xfId="0" applyNumberFormat="1" applyFont="1" applyFill="1" applyBorder="1" applyAlignment="1">
      <alignment horizontal="center" vertical="center"/>
    </xf>
    <xf numFmtId="1" fontId="15" fillId="12" borderId="75" xfId="0" applyNumberFormat="1" applyFont="1" applyFill="1" applyBorder="1" applyAlignment="1">
      <alignment horizontal="center" vertical="center"/>
    </xf>
    <xf numFmtId="1" fontId="12" fillId="9" borderId="71" xfId="0" applyNumberFormat="1" applyFont="1" applyFill="1" applyBorder="1" applyAlignment="1">
      <alignment horizontal="center" vertical="center"/>
    </xf>
    <xf numFmtId="1" fontId="12" fillId="9" borderId="47" xfId="0" applyNumberFormat="1" applyFont="1" applyFill="1" applyBorder="1" applyAlignment="1">
      <alignment horizontal="center" vertical="center"/>
    </xf>
    <xf numFmtId="1" fontId="12" fillId="9" borderId="72" xfId="0" applyNumberFormat="1" applyFont="1" applyFill="1" applyBorder="1" applyAlignment="1">
      <alignment horizontal="center" vertical="center"/>
    </xf>
    <xf numFmtId="1" fontId="12" fillId="9" borderId="16" xfId="0" applyNumberFormat="1" applyFont="1" applyFill="1" applyBorder="1" applyAlignment="1">
      <alignment horizontal="center" vertical="center"/>
    </xf>
    <xf numFmtId="1" fontId="0" fillId="13" borderId="93" xfId="0" applyNumberFormat="1" applyFill="1" applyBorder="1" applyAlignment="1">
      <alignment horizontal="center" vertical="center"/>
    </xf>
    <xf numFmtId="1" fontId="0" fillId="13" borderId="9" xfId="0" applyNumberFormat="1" applyFill="1" applyBorder="1" applyAlignment="1">
      <alignment horizontal="center" vertical="center"/>
    </xf>
    <xf numFmtId="1" fontId="0" fillId="13" borderId="94" xfId="0" applyNumberFormat="1" applyFill="1" applyBorder="1" applyAlignment="1">
      <alignment horizontal="center" vertical="center"/>
    </xf>
    <xf numFmtId="1" fontId="0" fillId="13" borderId="72" xfId="0" applyNumberFormat="1" applyFill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1" fontId="0" fillId="13" borderId="85" xfId="0" applyNumberFormat="1" applyFill="1" applyBorder="1" applyAlignment="1">
      <alignment horizontal="center" vertical="center"/>
    </xf>
    <xf numFmtId="1" fontId="0" fillId="13" borderId="11" xfId="0" applyNumberFormat="1" applyFill="1" applyBorder="1" applyAlignment="1">
      <alignment horizontal="center" vertical="center"/>
    </xf>
    <xf numFmtId="1" fontId="0" fillId="13" borderId="53" xfId="0" applyNumberFormat="1" applyFill="1" applyBorder="1" applyAlignment="1">
      <alignment horizontal="center" vertical="center"/>
    </xf>
    <xf numFmtId="1" fontId="0" fillId="13" borderId="52" xfId="0" applyNumberFormat="1" applyFill="1" applyBorder="1" applyAlignment="1">
      <alignment horizontal="center" vertical="center"/>
    </xf>
    <xf numFmtId="1" fontId="12" fillId="9" borderId="95" xfId="0" applyNumberFormat="1" applyFont="1" applyFill="1" applyBorder="1" applyAlignment="1">
      <alignment horizontal="center" vertical="center"/>
    </xf>
    <xf numFmtId="1" fontId="12" fillId="9" borderId="96" xfId="0" applyNumberFormat="1" applyFont="1" applyFill="1" applyBorder="1" applyAlignment="1">
      <alignment horizontal="center" vertical="center"/>
    </xf>
    <xf numFmtId="1" fontId="12" fillId="9" borderId="68" xfId="0" applyNumberFormat="1" applyFont="1" applyFill="1" applyBorder="1" applyAlignment="1">
      <alignment horizontal="center" vertical="center"/>
    </xf>
    <xf numFmtId="1" fontId="12" fillId="9" borderId="56" xfId="0" applyNumberFormat="1" applyFont="1" applyFill="1" applyBorder="1" applyAlignment="1">
      <alignment horizontal="center" vertical="center"/>
    </xf>
    <xf numFmtId="1" fontId="0" fillId="13" borderId="88" xfId="0" applyNumberFormat="1" applyFill="1" applyBorder="1" applyAlignment="1">
      <alignment horizontal="center" vertical="center"/>
    </xf>
    <xf numFmtId="1" fontId="0" fillId="13" borderId="57" xfId="0" applyNumberFormat="1" applyFill="1" applyBorder="1" applyAlignment="1">
      <alignment horizontal="center" vertical="center"/>
    </xf>
    <xf numFmtId="1" fontId="0" fillId="13" borderId="69" xfId="0" applyNumberFormat="1" applyFill="1" applyBorder="1" applyAlignment="1">
      <alignment horizontal="center" vertical="center"/>
    </xf>
    <xf numFmtId="1" fontId="0" fillId="13" borderId="68" xfId="0" applyNumberFormat="1" applyFill="1" applyBorder="1" applyAlignment="1">
      <alignment horizontal="center" vertical="center"/>
    </xf>
    <xf numFmtId="1" fontId="3" fillId="0" borderId="0" xfId="2" applyNumberFormat="1"/>
    <xf numFmtId="1" fontId="12" fillId="0" borderId="82" xfId="0" applyNumberFormat="1" applyFont="1" applyBorder="1" applyAlignment="1">
      <alignment horizontal="center" vertical="center"/>
    </xf>
    <xf numFmtId="1" fontId="12" fillId="0" borderId="83" xfId="0" applyNumberFormat="1" applyFont="1" applyBorder="1" applyAlignment="1">
      <alignment horizontal="center" vertical="center"/>
    </xf>
    <xf numFmtId="1" fontId="12" fillId="0" borderId="52" xfId="0" applyNumberFormat="1" applyFont="1" applyBorder="1" applyAlignment="1">
      <alignment horizontal="center" vertical="center"/>
    </xf>
    <xf numFmtId="1" fontId="12" fillId="9" borderId="95" xfId="0" applyNumberFormat="1" applyFont="1" applyFill="1" applyBorder="1" applyAlignment="1">
      <alignment horizontal="center" vertical="center"/>
    </xf>
    <xf numFmtId="1" fontId="12" fillId="9" borderId="96" xfId="0" applyNumberFormat="1" applyFont="1" applyFill="1" applyBorder="1" applyAlignment="1">
      <alignment horizontal="center" vertical="center"/>
    </xf>
    <xf numFmtId="1" fontId="12" fillId="9" borderId="68" xfId="0" applyNumberFormat="1" applyFont="1" applyFill="1" applyBorder="1" applyAlignment="1">
      <alignment horizontal="center" vertical="center"/>
    </xf>
    <xf numFmtId="1" fontId="12" fillId="9" borderId="10" xfId="0" applyNumberFormat="1" applyFont="1" applyFill="1" applyBorder="1" applyAlignment="1">
      <alignment horizontal="center" vertical="center"/>
    </xf>
    <xf numFmtId="1" fontId="12" fillId="9" borderId="52" xfId="0" applyNumberFormat="1" applyFont="1" applyFill="1" applyBorder="1" applyAlignment="1">
      <alignment horizontal="center" vertical="center"/>
    </xf>
    <xf numFmtId="1" fontId="12" fillId="9" borderId="11" xfId="0" applyNumberFormat="1" applyFont="1" applyFill="1" applyBorder="1" applyAlignment="1">
      <alignment horizontal="center" vertical="center"/>
    </xf>
    <xf numFmtId="1" fontId="12" fillId="9" borderId="86" xfId="0" applyNumberFormat="1" applyFont="1" applyFill="1" applyBorder="1" applyAlignment="1">
      <alignment horizontal="center" vertical="center"/>
    </xf>
    <xf numFmtId="1" fontId="12" fillId="9" borderId="75" xfId="0" applyNumberFormat="1" applyFont="1" applyFill="1" applyBorder="1" applyAlignment="1">
      <alignment horizontal="center" vertical="center"/>
    </xf>
    <xf numFmtId="1" fontId="12" fillId="9" borderId="87" xfId="0" applyNumberFormat="1" applyFont="1" applyFill="1" applyBorder="1" applyAlignment="1">
      <alignment horizontal="center" vertical="center"/>
    </xf>
    <xf numFmtId="1" fontId="15" fillId="0" borderId="71" xfId="0" applyNumberFormat="1" applyFont="1" applyBorder="1" applyAlignment="1">
      <alignment horizontal="center" vertical="center"/>
    </xf>
    <xf numFmtId="1" fontId="15" fillId="0" borderId="47" xfId="0" applyNumberFormat="1" applyFont="1" applyBorder="1" applyAlignment="1">
      <alignment horizontal="center" vertical="center"/>
    </xf>
    <xf numFmtId="1" fontId="15" fillId="0" borderId="72" xfId="0" applyNumberFormat="1" applyFont="1" applyBorder="1" applyAlignment="1">
      <alignment horizontal="center" vertical="center"/>
    </xf>
    <xf numFmtId="1" fontId="15" fillId="9" borderId="10" xfId="0" applyNumberFormat="1" applyFont="1" applyFill="1" applyBorder="1" applyAlignment="1">
      <alignment horizontal="center" vertical="center"/>
    </xf>
    <xf numFmtId="1" fontId="15" fillId="9" borderId="52" xfId="0" applyNumberFormat="1" applyFont="1" applyFill="1" applyBorder="1" applyAlignment="1">
      <alignment horizontal="center" vertical="center"/>
    </xf>
    <xf numFmtId="1" fontId="15" fillId="9" borderId="11" xfId="0" applyNumberFormat="1" applyFont="1" applyFill="1" applyBorder="1" applyAlignment="1">
      <alignment horizontal="center" vertical="center"/>
    </xf>
    <xf numFmtId="1" fontId="15" fillId="0" borderId="74" xfId="0" applyNumberFormat="1" applyFont="1" applyBorder="1" applyAlignment="1">
      <alignment horizontal="center" vertical="center"/>
    </xf>
    <xf numFmtId="1" fontId="15" fillId="0" borderId="76" xfId="0" applyNumberFormat="1" applyFont="1" applyBorder="1" applyAlignment="1">
      <alignment horizontal="center" vertical="center"/>
    </xf>
    <xf numFmtId="1" fontId="15" fillId="0" borderId="75" xfId="0" applyNumberFormat="1" applyFont="1" applyBorder="1" applyAlignment="1">
      <alignment horizontal="center" vertical="center"/>
    </xf>
    <xf numFmtId="1" fontId="12" fillId="9" borderId="71" xfId="0" applyNumberFormat="1" applyFont="1" applyFill="1" applyBorder="1" applyAlignment="1">
      <alignment horizontal="center" vertical="center"/>
    </xf>
    <xf numFmtId="1" fontId="12" fillId="9" borderId="47" xfId="0" applyNumberFormat="1" applyFont="1" applyFill="1" applyBorder="1" applyAlignment="1">
      <alignment horizontal="center" vertical="center"/>
    </xf>
    <xf numFmtId="1" fontId="12" fillId="9" borderId="72" xfId="0" applyNumberFormat="1" applyFont="1" applyFill="1" applyBorder="1" applyAlignment="1">
      <alignment horizontal="center" vertical="center"/>
    </xf>
    <xf numFmtId="0" fontId="19" fillId="5" borderId="27" xfId="2" applyFont="1" applyFill="1" applyBorder="1" applyAlignment="1">
      <alignment horizontal="center" vertical="center"/>
    </xf>
    <xf numFmtId="0" fontId="19" fillId="5" borderId="28" xfId="2" applyFont="1" applyFill="1" applyBorder="1" applyAlignment="1">
      <alignment horizontal="center" vertical="center"/>
    </xf>
    <xf numFmtId="0" fontId="19" fillId="5" borderId="29" xfId="2" applyFont="1" applyFill="1" applyBorder="1" applyAlignment="1">
      <alignment horizontal="center" vertical="center"/>
    </xf>
    <xf numFmtId="0" fontId="19" fillId="5" borderId="36" xfId="2" applyFont="1" applyFill="1" applyBorder="1" applyAlignment="1">
      <alignment horizontal="center" vertical="center"/>
    </xf>
    <xf numFmtId="0" fontId="19" fillId="5" borderId="0" xfId="2" applyFont="1" applyFill="1" applyBorder="1" applyAlignment="1">
      <alignment horizontal="center" vertical="center"/>
    </xf>
    <xf numFmtId="0" fontId="19" fillId="5" borderId="24" xfId="2" applyFont="1" applyFill="1" applyBorder="1" applyAlignment="1">
      <alignment horizontal="center" vertical="center"/>
    </xf>
    <xf numFmtId="0" fontId="19" fillId="5" borderId="33" xfId="2" applyFont="1" applyFill="1" applyBorder="1" applyAlignment="1">
      <alignment horizontal="center" vertical="center"/>
    </xf>
    <xf numFmtId="0" fontId="19" fillId="5" borderId="23" xfId="2" applyFont="1" applyFill="1" applyBorder="1" applyAlignment="1">
      <alignment horizontal="center" vertical="center"/>
    </xf>
    <xf numFmtId="0" fontId="19" fillId="5" borderId="34" xfId="2" applyFont="1" applyFill="1" applyBorder="1" applyAlignment="1">
      <alignment horizontal="center" vertical="center"/>
    </xf>
    <xf numFmtId="0" fontId="19" fillId="5" borderId="3" xfId="2" applyFont="1" applyFill="1" applyBorder="1" applyAlignment="1">
      <alignment horizontal="center" vertical="center"/>
    </xf>
    <xf numFmtId="0" fontId="19" fillId="5" borderId="35" xfId="2" applyFont="1" applyFill="1" applyBorder="1" applyAlignment="1">
      <alignment horizontal="center" vertical="center"/>
    </xf>
    <xf numFmtId="0" fontId="19" fillId="5" borderId="6" xfId="2" applyFont="1" applyFill="1" applyBorder="1" applyAlignment="1">
      <alignment horizontal="center" vertical="center"/>
    </xf>
    <xf numFmtId="0" fontId="19" fillId="5" borderId="45" xfId="2" applyFont="1" applyFill="1" applyBorder="1" applyAlignment="1">
      <alignment horizontal="center" vertical="center"/>
    </xf>
    <xf numFmtId="1" fontId="3" fillId="9" borderId="71" xfId="2" applyNumberFormat="1" applyFill="1" applyBorder="1" applyAlignment="1">
      <alignment horizontal="center" vertical="center"/>
    </xf>
    <xf numFmtId="1" fontId="3" fillId="9" borderId="72" xfId="2" applyNumberFormat="1" applyFill="1" applyBorder="1" applyAlignment="1">
      <alignment horizontal="center" vertical="center"/>
    </xf>
    <xf numFmtId="1" fontId="3" fillId="9" borderId="74" xfId="2" applyNumberFormat="1" applyFill="1" applyBorder="1" applyAlignment="1">
      <alignment horizontal="center" vertical="center"/>
    </xf>
    <xf numFmtId="1" fontId="3" fillId="9" borderId="75" xfId="2" applyNumberFormat="1" applyFill="1" applyBorder="1" applyAlignment="1">
      <alignment horizontal="center" vertical="center"/>
    </xf>
    <xf numFmtId="1" fontId="12" fillId="9" borderId="78" xfId="0" applyNumberFormat="1" applyFont="1" applyFill="1" applyBorder="1" applyAlignment="1">
      <alignment horizontal="center" vertical="center"/>
    </xf>
    <xf numFmtId="1" fontId="12" fillId="9" borderId="49" xfId="0" applyNumberFormat="1" applyFont="1" applyFill="1" applyBorder="1" applyAlignment="1">
      <alignment horizontal="center" vertical="center"/>
    </xf>
    <xf numFmtId="1" fontId="12" fillId="9" borderId="12" xfId="0" applyNumberFormat="1" applyFont="1" applyFill="1" applyBorder="1" applyAlignment="1">
      <alignment horizontal="center" vertical="center"/>
    </xf>
    <xf numFmtId="0" fontId="21" fillId="5" borderId="20" xfId="2" applyFont="1" applyFill="1" applyBorder="1" applyAlignment="1">
      <alignment horizontal="center" vertical="center"/>
    </xf>
    <xf numFmtId="0" fontId="21" fillId="5" borderId="21" xfId="2" applyFont="1" applyFill="1" applyBorder="1" applyAlignment="1">
      <alignment horizontal="center" vertical="center"/>
    </xf>
    <xf numFmtId="0" fontId="7" fillId="5" borderId="21" xfId="2" applyFont="1" applyFill="1" applyBorder="1" applyAlignment="1">
      <alignment horizontal="center"/>
    </xf>
    <xf numFmtId="0" fontId="7" fillId="5" borderId="22" xfId="2" applyFont="1" applyFill="1" applyBorder="1" applyAlignment="1">
      <alignment horizontal="center"/>
    </xf>
    <xf numFmtId="14" fontId="7" fillId="5" borderId="20" xfId="2" applyNumberFormat="1" applyFont="1" applyFill="1" applyBorder="1" applyAlignment="1">
      <alignment horizontal="center"/>
    </xf>
    <xf numFmtId="14" fontId="7" fillId="5" borderId="21" xfId="2" applyNumberFormat="1" applyFont="1" applyFill="1" applyBorder="1" applyAlignment="1">
      <alignment horizontal="center"/>
    </xf>
    <xf numFmtId="14" fontId="7" fillId="5" borderId="22" xfId="2" applyNumberFormat="1" applyFont="1" applyFill="1" applyBorder="1" applyAlignment="1">
      <alignment horizontal="center"/>
    </xf>
    <xf numFmtId="0" fontId="19" fillId="5" borderId="14" xfId="2" applyFont="1" applyFill="1" applyBorder="1" applyAlignment="1">
      <alignment horizontal="center" vertical="center"/>
    </xf>
    <xf numFmtId="0" fontId="19" fillId="5" borderId="7" xfId="2" applyFont="1" applyFill="1" applyBorder="1" applyAlignment="1">
      <alignment horizontal="center" vertical="center"/>
    </xf>
    <xf numFmtId="0" fontId="19" fillId="5" borderId="2" xfId="2" applyFont="1" applyFill="1" applyBorder="1" applyAlignment="1">
      <alignment horizontal="center" vertical="center"/>
    </xf>
    <xf numFmtId="0" fontId="19" fillId="5" borderId="5" xfId="2" applyFont="1" applyFill="1" applyBorder="1" applyAlignment="1">
      <alignment horizontal="center" vertical="center"/>
    </xf>
    <xf numFmtId="0" fontId="7" fillId="5" borderId="13" xfId="2" applyFont="1" applyFill="1" applyBorder="1" applyAlignment="1">
      <alignment horizontal="center" vertical="center"/>
    </xf>
    <xf numFmtId="0" fontId="7" fillId="5" borderId="3" xfId="2" applyFont="1" applyFill="1" applyBorder="1" applyAlignment="1">
      <alignment horizontal="center" vertical="center"/>
    </xf>
    <xf numFmtId="0" fontId="7" fillId="5" borderId="2" xfId="2" applyFont="1" applyFill="1" applyBorder="1" applyAlignment="1">
      <alignment horizontal="center" vertical="center"/>
    </xf>
    <xf numFmtId="0" fontId="7" fillId="5" borderId="0" xfId="2" applyFont="1" applyFill="1" applyBorder="1" applyAlignment="1">
      <alignment horizontal="center" vertical="center"/>
    </xf>
    <xf numFmtId="0" fontId="7" fillId="5" borderId="5" xfId="2" applyFont="1" applyFill="1" applyBorder="1" applyAlignment="1">
      <alignment horizontal="center" vertical="center"/>
    </xf>
    <xf numFmtId="0" fontId="7" fillId="5" borderId="6" xfId="2" applyFont="1" applyFill="1" applyBorder="1" applyAlignment="1">
      <alignment horizontal="center" vertical="center"/>
    </xf>
    <xf numFmtId="0" fontId="19" fillId="5" borderId="21" xfId="2" applyFont="1" applyFill="1" applyBorder="1" applyAlignment="1">
      <alignment horizontal="center"/>
    </xf>
    <xf numFmtId="0" fontId="19" fillId="5" borderId="22" xfId="2" applyFont="1" applyFill="1" applyBorder="1" applyAlignment="1">
      <alignment horizontal="center"/>
    </xf>
    <xf numFmtId="0" fontId="1" fillId="0" borderId="0" xfId="3"/>
    <xf numFmtId="0" fontId="7" fillId="5" borderId="13" xfId="3" applyFont="1" applyFill="1" applyBorder="1" applyAlignment="1">
      <alignment horizontal="center" vertical="center"/>
    </xf>
    <xf numFmtId="0" fontId="7" fillId="5" borderId="3" xfId="3" applyFont="1" applyFill="1" applyBorder="1" applyAlignment="1">
      <alignment horizontal="center" vertical="center"/>
    </xf>
    <xf numFmtId="0" fontId="19" fillId="5" borderId="13" xfId="3" applyFont="1" applyFill="1" applyBorder="1" applyAlignment="1">
      <alignment horizontal="centerContinuous"/>
    </xf>
    <xf numFmtId="0" fontId="19" fillId="5" borderId="20" xfId="3" applyFont="1" applyFill="1" applyBorder="1" applyAlignment="1">
      <alignment horizontal="centerContinuous"/>
    </xf>
    <xf numFmtId="0" fontId="19" fillId="5" borderId="1" xfId="3" applyFont="1" applyFill="1" applyBorder="1" applyAlignment="1">
      <alignment horizontal="centerContinuous"/>
    </xf>
    <xf numFmtId="0" fontId="7" fillId="5" borderId="2" xfId="3" applyFont="1" applyFill="1" applyBorder="1" applyAlignment="1">
      <alignment horizontal="center" vertical="center"/>
    </xf>
    <xf numFmtId="0" fontId="7" fillId="5" borderId="0" xfId="3" applyFont="1" applyFill="1" applyBorder="1" applyAlignment="1">
      <alignment horizontal="center" vertical="center"/>
    </xf>
    <xf numFmtId="0" fontId="19" fillId="5" borderId="21" xfId="3" applyFont="1" applyFill="1" applyBorder="1" applyAlignment="1">
      <alignment horizontal="centerContinuous"/>
    </xf>
    <xf numFmtId="0" fontId="19" fillId="5" borderId="22" xfId="3" applyFont="1" applyFill="1" applyBorder="1" applyAlignment="1">
      <alignment horizontal="centerContinuous"/>
    </xf>
    <xf numFmtId="0" fontId="19" fillId="5" borderId="21" xfId="3" applyFont="1" applyFill="1" applyBorder="1" applyAlignment="1">
      <alignment horizontal="center"/>
    </xf>
    <xf numFmtId="0" fontId="19" fillId="5" borderId="22" xfId="3" applyFont="1" applyFill="1" applyBorder="1" applyAlignment="1">
      <alignment horizontal="center"/>
    </xf>
    <xf numFmtId="14" fontId="20" fillId="5" borderId="20" xfId="3" applyNumberFormat="1" applyFont="1" applyFill="1" applyBorder="1" applyAlignment="1">
      <alignment horizontal="centerContinuous"/>
    </xf>
    <xf numFmtId="0" fontId="7" fillId="5" borderId="20" xfId="3" applyFont="1" applyFill="1" applyBorder="1" applyAlignment="1">
      <alignment horizontal="centerContinuous"/>
    </xf>
    <xf numFmtId="0" fontId="7" fillId="5" borderId="20" xfId="3" applyFont="1" applyFill="1" applyBorder="1" applyAlignment="1">
      <alignment horizontal="centerContinuous" vertical="center"/>
    </xf>
    <xf numFmtId="0" fontId="7" fillId="5" borderId="1" xfId="3" applyNumberFormat="1" applyFont="1" applyFill="1" applyBorder="1" applyAlignment="1">
      <alignment horizontal="center" vertical="center"/>
    </xf>
    <xf numFmtId="0" fontId="7" fillId="5" borderId="5" xfId="3" applyFont="1" applyFill="1" applyBorder="1" applyAlignment="1">
      <alignment horizontal="center" vertical="center"/>
    </xf>
    <xf numFmtId="0" fontId="7" fillId="5" borderId="6" xfId="3" applyFont="1" applyFill="1" applyBorder="1" applyAlignment="1">
      <alignment horizontal="center" vertical="center"/>
    </xf>
    <xf numFmtId="0" fontId="20" fillId="5" borderId="5" xfId="3" applyFont="1" applyFill="1" applyBorder="1"/>
    <xf numFmtId="0" fontId="20" fillId="5" borderId="20" xfId="3" applyFont="1" applyFill="1" applyBorder="1"/>
    <xf numFmtId="0" fontId="7" fillId="5" borderId="20" xfId="3" applyFont="1" applyFill="1" applyBorder="1" applyAlignment="1">
      <alignment horizontal="center" vertical="center"/>
    </xf>
    <xf numFmtId="0" fontId="21" fillId="5" borderId="20" xfId="3" applyFont="1" applyFill="1" applyBorder="1" applyAlignment="1">
      <alignment horizontal="center" vertical="center"/>
    </xf>
    <xf numFmtId="0" fontId="21" fillId="5" borderId="21" xfId="3" applyFont="1" applyFill="1" applyBorder="1" applyAlignment="1">
      <alignment horizontal="center" vertical="center"/>
    </xf>
    <xf numFmtId="0" fontId="7" fillId="5" borderId="21" xfId="3" applyFont="1" applyFill="1" applyBorder="1" applyAlignment="1">
      <alignment horizontal="center"/>
    </xf>
    <xf numFmtId="0" fontId="7" fillId="5" borderId="22" xfId="3" applyFont="1" applyFill="1" applyBorder="1" applyAlignment="1">
      <alignment horizontal="center"/>
    </xf>
    <xf numFmtId="14" fontId="7" fillId="5" borderId="20" xfId="3" applyNumberFormat="1" applyFont="1" applyFill="1" applyBorder="1" applyAlignment="1">
      <alignment horizontal="center"/>
    </xf>
    <xf numFmtId="14" fontId="7" fillId="5" borderId="21" xfId="3" applyNumberFormat="1" applyFont="1" applyFill="1" applyBorder="1" applyAlignment="1">
      <alignment horizontal="center"/>
    </xf>
    <xf numFmtId="14" fontId="7" fillId="5" borderId="22" xfId="3" applyNumberFormat="1" applyFont="1" applyFill="1" applyBorder="1" applyAlignment="1">
      <alignment horizontal="center"/>
    </xf>
    <xf numFmtId="0" fontId="1" fillId="0" borderId="24" xfId="3" applyBorder="1"/>
    <xf numFmtId="0" fontId="19" fillId="5" borderId="0" xfId="3" applyFont="1" applyFill="1" applyBorder="1" applyAlignment="1">
      <alignment horizontal="center" vertical="center"/>
    </xf>
    <xf numFmtId="0" fontId="19" fillId="5" borderId="14" xfId="3" applyFont="1" applyFill="1" applyBorder="1" applyAlignment="1">
      <alignment horizontal="center" vertical="center"/>
    </xf>
    <xf numFmtId="0" fontId="19" fillId="5" borderId="2" xfId="3" applyFont="1" applyFill="1" applyBorder="1" applyAlignment="1">
      <alignment horizontal="center" vertical="center"/>
    </xf>
    <xf numFmtId="0" fontId="1" fillId="0" borderId="0" xfId="3" applyBorder="1"/>
    <xf numFmtId="0" fontId="19" fillId="5" borderId="6" xfId="3" applyFont="1" applyFill="1" applyBorder="1" applyAlignment="1">
      <alignment horizontal="center" vertical="center"/>
    </xf>
    <xf numFmtId="0" fontId="19" fillId="5" borderId="7" xfId="3" applyFont="1" applyFill="1" applyBorder="1" applyAlignment="1">
      <alignment horizontal="center" vertical="center"/>
    </xf>
    <xf numFmtId="0" fontId="19" fillId="5" borderId="5" xfId="3" applyFont="1" applyFill="1" applyBorder="1" applyAlignment="1">
      <alignment horizontal="center" vertical="center"/>
    </xf>
    <xf numFmtId="0" fontId="1" fillId="0" borderId="25" xfId="3" applyBorder="1"/>
    <xf numFmtId="0" fontId="1" fillId="0" borderId="26" xfId="3" applyBorder="1"/>
    <xf numFmtId="0" fontId="1" fillId="0" borderId="6" xfId="3" applyBorder="1"/>
    <xf numFmtId="0" fontId="19" fillId="5" borderId="27" xfId="3" applyFont="1" applyFill="1" applyBorder="1" applyAlignment="1">
      <alignment horizontal="center" vertical="center"/>
    </xf>
    <xf numFmtId="0" fontId="19" fillId="5" borderId="28" xfId="3" applyFont="1" applyFill="1" applyBorder="1" applyAlignment="1">
      <alignment horizontal="center" vertical="center"/>
    </xf>
    <xf numFmtId="0" fontId="19" fillId="5" borderId="29" xfId="3" applyFont="1" applyFill="1" applyBorder="1" applyAlignment="1">
      <alignment horizontal="center" vertical="center"/>
    </xf>
    <xf numFmtId="0" fontId="19" fillId="5" borderId="30" xfId="3" applyFont="1" applyFill="1" applyBorder="1"/>
    <xf numFmtId="0" fontId="20" fillId="5" borderId="30" xfId="3" applyFont="1" applyFill="1" applyBorder="1" applyAlignment="1">
      <alignment horizontal="centerContinuous" vertical="center"/>
    </xf>
    <xf numFmtId="0" fontId="19" fillId="5" borderId="31" xfId="3" applyFont="1" applyFill="1" applyBorder="1" applyAlignment="1">
      <alignment horizontal="centerContinuous"/>
    </xf>
    <xf numFmtId="0" fontId="1" fillId="0" borderId="32" xfId="3" applyBorder="1"/>
    <xf numFmtId="0" fontId="7" fillId="5" borderId="30" xfId="3" applyFont="1" applyFill="1" applyBorder="1"/>
    <xf numFmtId="14" fontId="7" fillId="5" borderId="30" xfId="3" applyNumberFormat="1" applyFont="1" applyFill="1" applyBorder="1" applyAlignment="1">
      <alignment horizontal="centerContinuous"/>
    </xf>
    <xf numFmtId="14" fontId="7" fillId="5" borderId="31" xfId="3" applyNumberFormat="1" applyFont="1" applyFill="1" applyBorder="1" applyAlignment="1">
      <alignment horizontal="centerContinuous"/>
    </xf>
    <xf numFmtId="0" fontId="20" fillId="5" borderId="30" xfId="3" applyFont="1" applyFill="1" applyBorder="1"/>
    <xf numFmtId="0" fontId="20" fillId="5" borderId="30" xfId="3" applyFont="1" applyFill="1" applyBorder="1" applyAlignment="1">
      <alignment horizontal="centerContinuous"/>
    </xf>
    <xf numFmtId="0" fontId="20" fillId="5" borderId="31" xfId="3" applyFont="1" applyFill="1" applyBorder="1" applyAlignment="1">
      <alignment horizontal="centerContinuous"/>
    </xf>
    <xf numFmtId="0" fontId="1" fillId="0" borderId="33" xfId="3" applyBorder="1"/>
    <xf numFmtId="0" fontId="1" fillId="0" borderId="34" xfId="3" applyBorder="1"/>
    <xf numFmtId="0" fontId="19" fillId="5" borderId="3" xfId="3" applyFont="1" applyFill="1" applyBorder="1" applyAlignment="1">
      <alignment horizontal="center" vertical="center"/>
    </xf>
    <xf numFmtId="0" fontId="19" fillId="5" borderId="35" xfId="3" applyFont="1" applyFill="1" applyBorder="1" applyAlignment="1">
      <alignment horizontal="center" vertical="center"/>
    </xf>
    <xf numFmtId="0" fontId="19" fillId="5" borderId="36" xfId="3" applyFont="1" applyFill="1" applyBorder="1" applyAlignment="1">
      <alignment horizontal="center" vertical="center"/>
    </xf>
    <xf numFmtId="0" fontId="19" fillId="5" borderId="24" xfId="3" applyFont="1" applyFill="1" applyBorder="1" applyAlignment="1">
      <alignment horizontal="center" vertical="center"/>
    </xf>
    <xf numFmtId="164" fontId="22" fillId="6" borderId="0" xfId="3" applyNumberFormat="1" applyFont="1" applyFill="1" applyBorder="1" applyAlignment="1">
      <alignment horizontal="centerContinuous" vertical="center"/>
    </xf>
    <xf numFmtId="164" fontId="22" fillId="6" borderId="2" xfId="3" applyNumberFormat="1" applyFont="1" applyFill="1" applyBorder="1" applyAlignment="1">
      <alignment horizontal="centerContinuous" vertical="center"/>
    </xf>
    <xf numFmtId="164" fontId="22" fillId="6" borderId="37" xfId="3" applyNumberFormat="1" applyFont="1" applyFill="1" applyBorder="1" applyAlignment="1">
      <alignment horizontal="centerContinuous" vertical="center"/>
    </xf>
    <xf numFmtId="164" fontId="22" fillId="6" borderId="38" xfId="3" applyNumberFormat="1" applyFont="1" applyFill="1" applyBorder="1" applyAlignment="1">
      <alignment horizontal="centerContinuous" vertical="center"/>
    </xf>
    <xf numFmtId="164" fontId="22" fillId="6" borderId="39" xfId="3" applyNumberFormat="1" applyFont="1" applyFill="1" applyBorder="1" applyAlignment="1">
      <alignment horizontal="centerContinuous" vertical="center"/>
    </xf>
    <xf numFmtId="164" fontId="22" fillId="6" borderId="40" xfId="3" applyNumberFormat="1" applyFont="1" applyFill="1" applyBorder="1" applyAlignment="1">
      <alignment horizontal="centerContinuous" vertical="center"/>
    </xf>
    <xf numFmtId="0" fontId="19" fillId="5" borderId="33" xfId="3" applyFont="1" applyFill="1" applyBorder="1" applyAlignment="1">
      <alignment horizontal="center" vertical="center"/>
    </xf>
    <xf numFmtId="0" fontId="19" fillId="5" borderId="23" xfId="3" applyFont="1" applyFill="1" applyBorder="1" applyAlignment="1">
      <alignment horizontal="center" vertical="center"/>
    </xf>
    <xf numFmtId="0" fontId="19" fillId="5" borderId="34" xfId="3" applyFont="1" applyFill="1" applyBorder="1" applyAlignment="1">
      <alignment horizontal="center" vertical="center"/>
    </xf>
    <xf numFmtId="0" fontId="19" fillId="5" borderId="45" xfId="3" applyFont="1" applyFill="1" applyBorder="1" applyAlignment="1">
      <alignment horizontal="center" vertical="center"/>
    </xf>
    <xf numFmtId="164" fontId="15" fillId="6" borderId="46" xfId="3" applyNumberFormat="1" applyFont="1" applyFill="1" applyBorder="1" applyAlignment="1">
      <alignment horizontal="center" vertical="center"/>
    </xf>
    <xf numFmtId="164" fontId="15" fillId="6" borderId="31" xfId="3" applyNumberFormat="1" applyFont="1" applyFill="1" applyBorder="1" applyAlignment="1">
      <alignment horizontal="center" vertical="center"/>
    </xf>
    <xf numFmtId="164" fontId="15" fillId="6" borderId="41" xfId="3" applyNumberFormat="1" applyFont="1" applyFill="1" applyBorder="1" applyAlignment="1">
      <alignment horizontal="center" vertical="center"/>
    </xf>
    <xf numFmtId="164" fontId="15" fillId="6" borderId="42" xfId="3" applyNumberFormat="1" applyFont="1" applyFill="1" applyBorder="1" applyAlignment="1">
      <alignment horizontal="center" vertical="center"/>
    </xf>
    <xf numFmtId="164" fontId="15" fillId="6" borderId="43" xfId="3" applyNumberFormat="1" applyFont="1" applyFill="1" applyBorder="1" applyAlignment="1">
      <alignment horizontal="center" vertical="center"/>
    </xf>
    <xf numFmtId="164" fontId="15" fillId="6" borderId="44" xfId="3" applyNumberFormat="1" applyFont="1" applyFill="1" applyBorder="1" applyAlignment="1">
      <alignment horizontal="center" vertical="center"/>
    </xf>
    <xf numFmtId="164" fontId="15" fillId="6" borderId="47" xfId="3" applyNumberFormat="1" applyFont="1" applyFill="1" applyBorder="1" applyAlignment="1">
      <alignment horizontal="center" vertical="center"/>
    </xf>
    <xf numFmtId="164" fontId="15" fillId="6" borderId="0" xfId="3" applyNumberFormat="1" applyFont="1" applyFill="1" applyAlignment="1">
      <alignment horizontal="center" vertical="center"/>
    </xf>
    <xf numFmtId="164" fontId="15" fillId="6" borderId="35" xfId="3" applyNumberFormat="1" applyFont="1" applyFill="1" applyBorder="1" applyAlignment="1">
      <alignment horizontal="center" vertical="center"/>
    </xf>
    <xf numFmtId="0" fontId="24" fillId="0" borderId="48" xfId="3" applyFont="1" applyBorder="1"/>
    <xf numFmtId="0" fontId="25" fillId="0" borderId="49" xfId="3" applyFont="1" applyFill="1" applyBorder="1"/>
    <xf numFmtId="165" fontId="25" fillId="0" borderId="12" xfId="3" applyNumberFormat="1" applyFont="1" applyFill="1" applyBorder="1"/>
    <xf numFmtId="165" fontId="25" fillId="0" borderId="50" xfId="3" applyNumberFormat="1" applyFont="1" applyFill="1" applyBorder="1"/>
    <xf numFmtId="165" fontId="26" fillId="0" borderId="49" xfId="3" applyNumberFormat="1" applyFont="1" applyFill="1" applyBorder="1" applyAlignment="1">
      <alignment horizontal="center" vertical="center"/>
    </xf>
    <xf numFmtId="165" fontId="26" fillId="0" borderId="51" xfId="3" applyNumberFormat="1" applyFont="1" applyFill="1" applyBorder="1" applyAlignment="1">
      <alignment horizontal="center" vertical="center"/>
    </xf>
    <xf numFmtId="0" fontId="27" fillId="0" borderId="52" xfId="3" applyNumberFormat="1" applyFont="1" applyFill="1" applyBorder="1" applyAlignment="1">
      <alignment horizontal="center" vertical="center"/>
    </xf>
    <xf numFmtId="0" fontId="27" fillId="0" borderId="11" xfId="3" applyNumberFormat="1" applyFont="1" applyFill="1" applyBorder="1" applyAlignment="1">
      <alignment horizontal="center" vertical="center"/>
    </xf>
    <xf numFmtId="0" fontId="27" fillId="0" borderId="53" xfId="3" applyNumberFormat="1" applyFont="1" applyFill="1" applyBorder="1" applyAlignment="1">
      <alignment horizontal="center" vertical="center"/>
    </xf>
    <xf numFmtId="0" fontId="24" fillId="0" borderId="0" xfId="3" applyFont="1"/>
    <xf numFmtId="0" fontId="24" fillId="0" borderId="53" xfId="3" applyFont="1" applyBorder="1"/>
    <xf numFmtId="165" fontId="25" fillId="0" borderId="11" xfId="3" applyNumberFormat="1" applyFont="1" applyFill="1" applyBorder="1"/>
    <xf numFmtId="165" fontId="25" fillId="0" borderId="53" xfId="3" applyNumberFormat="1" applyFont="1" applyFill="1" applyBorder="1"/>
    <xf numFmtId="165" fontId="26" fillId="0" borderId="54" xfId="3" applyNumberFormat="1" applyFont="1" applyFill="1" applyBorder="1" applyAlignment="1">
      <alignment horizontal="center" vertical="center"/>
    </xf>
    <xf numFmtId="0" fontId="24" fillId="0" borderId="50" xfId="3" applyFont="1" applyBorder="1"/>
    <xf numFmtId="165" fontId="7" fillId="14" borderId="49" xfId="3" applyNumberFormat="1" applyFont="1" applyFill="1" applyBorder="1" applyAlignment="1">
      <alignment horizontal="center" vertical="center"/>
    </xf>
    <xf numFmtId="165" fontId="7" fillId="14" borderId="54" xfId="3" applyNumberFormat="1" applyFont="1" applyFill="1" applyBorder="1" applyAlignment="1">
      <alignment horizontal="center" vertical="center"/>
    </xf>
    <xf numFmtId="0" fontId="24" fillId="0" borderId="18" xfId="3" applyFont="1" applyBorder="1"/>
    <xf numFmtId="0" fontId="1" fillId="0" borderId="11" xfId="3" applyBorder="1"/>
    <xf numFmtId="165" fontId="25" fillId="0" borderId="18" xfId="3" applyNumberFormat="1" applyFont="1" applyFill="1" applyBorder="1"/>
    <xf numFmtId="0" fontId="1" fillId="0" borderId="10" xfId="3" applyBorder="1"/>
    <xf numFmtId="0" fontId="1" fillId="0" borderId="55" xfId="3" applyBorder="1"/>
    <xf numFmtId="0" fontId="1" fillId="0" borderId="52" xfId="3" applyBorder="1"/>
    <xf numFmtId="0" fontId="1" fillId="0" borderId="53" xfId="3" applyBorder="1"/>
    <xf numFmtId="0" fontId="24" fillId="0" borderId="56" xfId="3" applyFont="1" applyBorder="1"/>
    <xf numFmtId="0" fontId="1" fillId="0" borderId="58" xfId="3" applyBorder="1"/>
    <xf numFmtId="165" fontId="25" fillId="0" borderId="58" xfId="3" applyNumberFormat="1" applyFont="1" applyFill="1" applyBorder="1"/>
    <xf numFmtId="165" fontId="25" fillId="0" borderId="59" xfId="3" applyNumberFormat="1" applyFont="1" applyFill="1" applyBorder="1"/>
    <xf numFmtId="0" fontId="1" fillId="0" borderId="60" xfId="3" applyBorder="1"/>
    <xf numFmtId="0" fontId="1" fillId="0" borderId="61" xfId="3" applyBorder="1"/>
    <xf numFmtId="0" fontId="1" fillId="0" borderId="62" xfId="3" applyBorder="1"/>
    <xf numFmtId="0" fontId="1" fillId="0" borderId="63" xfId="3" applyBorder="1"/>
    <xf numFmtId="0" fontId="1" fillId="0" borderId="28" xfId="3" applyBorder="1"/>
    <xf numFmtId="0" fontId="0" fillId="0" borderId="28" xfId="0" applyBorder="1"/>
    <xf numFmtId="0" fontId="24" fillId="0" borderId="0" xfId="3" applyFont="1" applyFill="1" applyBorder="1" applyAlignment="1">
      <alignment horizontal="left" vertical="center"/>
    </xf>
    <xf numFmtId="0" fontId="21" fillId="7" borderId="49" xfId="3" applyFont="1" applyFill="1" applyBorder="1"/>
    <xf numFmtId="0" fontId="21" fillId="7" borderId="12" xfId="3" applyFont="1" applyFill="1" applyBorder="1"/>
    <xf numFmtId="0" fontId="21" fillId="7" borderId="50" xfId="3" applyFont="1" applyFill="1" applyBorder="1"/>
    <xf numFmtId="0" fontId="19" fillId="8" borderId="27" xfId="3" applyFont="1" applyFill="1" applyBorder="1"/>
    <xf numFmtId="0" fontId="19" fillId="8" borderId="28" xfId="3" applyFont="1" applyFill="1" applyBorder="1"/>
    <xf numFmtId="0" fontId="19" fillId="8" borderId="29" xfId="3" applyFont="1" applyFill="1" applyBorder="1"/>
    <xf numFmtId="0" fontId="19" fillId="7" borderId="27" xfId="3" applyFont="1" applyFill="1" applyBorder="1"/>
    <xf numFmtId="0" fontId="19" fillId="7" borderId="29" xfId="3" applyFont="1" applyFill="1" applyBorder="1"/>
    <xf numFmtId="0" fontId="19" fillId="7" borderId="66" xfId="3" applyFont="1" applyFill="1" applyBorder="1"/>
    <xf numFmtId="0" fontId="21" fillId="7" borderId="52" xfId="3" applyFont="1" applyFill="1" applyBorder="1"/>
    <xf numFmtId="0" fontId="21" fillId="7" borderId="11" xfId="3" applyFont="1" applyFill="1" applyBorder="1"/>
    <xf numFmtId="0" fontId="21" fillId="7" borderId="53" xfId="3" applyFont="1" applyFill="1" applyBorder="1"/>
    <xf numFmtId="0" fontId="19" fillId="8" borderId="36" xfId="3" applyFont="1" applyFill="1" applyBorder="1"/>
    <xf numFmtId="0" fontId="19" fillId="8" borderId="0" xfId="3" applyFont="1" applyFill="1" applyBorder="1"/>
    <xf numFmtId="0" fontId="19" fillId="8" borderId="24" xfId="3" applyFont="1" applyFill="1" applyBorder="1"/>
    <xf numFmtId="0" fontId="19" fillId="7" borderId="36" xfId="3" applyFont="1" applyFill="1" applyBorder="1"/>
    <xf numFmtId="0" fontId="19" fillId="7" borderId="24" xfId="3" applyFont="1" applyFill="1" applyBorder="1"/>
    <xf numFmtId="0" fontId="19" fillId="7" borderId="67" xfId="3" applyFont="1" applyFill="1" applyBorder="1"/>
    <xf numFmtId="0" fontId="21" fillId="7" borderId="68" xfId="3" applyFont="1" applyFill="1" applyBorder="1"/>
    <xf numFmtId="0" fontId="21" fillId="7" borderId="57" xfId="3" applyFont="1" applyFill="1" applyBorder="1"/>
    <xf numFmtId="0" fontId="21" fillId="7" borderId="69" xfId="3" applyFont="1" applyFill="1" applyBorder="1"/>
    <xf numFmtId="0" fontId="19" fillId="8" borderId="33" xfId="3" applyFont="1" applyFill="1" applyBorder="1"/>
    <xf numFmtId="0" fontId="19" fillId="8" borderId="23" xfId="3" applyFont="1" applyFill="1" applyBorder="1"/>
    <xf numFmtId="0" fontId="19" fillId="8" borderId="34" xfId="3" applyFont="1" applyFill="1" applyBorder="1"/>
    <xf numFmtId="0" fontId="19" fillId="7" borderId="33" xfId="3" applyFont="1" applyFill="1" applyBorder="1"/>
    <xf numFmtId="0" fontId="19" fillId="7" borderId="34" xfId="3" applyFont="1" applyFill="1" applyBorder="1"/>
    <xf numFmtId="0" fontId="19" fillId="7" borderId="70" xfId="3" applyFont="1" applyFill="1" applyBorder="1"/>
    <xf numFmtId="0" fontId="12" fillId="0" borderId="0" xfId="3" applyFont="1" applyBorder="1" applyAlignment="1">
      <alignment horizontal="center" vertical="center"/>
    </xf>
    <xf numFmtId="1" fontId="1" fillId="9" borderId="71" xfId="3" applyNumberFormat="1" applyFill="1" applyBorder="1" applyAlignment="1">
      <alignment horizontal="center" vertical="center"/>
    </xf>
    <xf numFmtId="1" fontId="1" fillId="9" borderId="72" xfId="3" applyNumberFormat="1" applyFill="1" applyBorder="1" applyAlignment="1">
      <alignment horizontal="center" vertical="center"/>
    </xf>
    <xf numFmtId="1" fontId="1" fillId="9" borderId="47" xfId="3" applyNumberFormat="1" applyFill="1" applyBorder="1" applyAlignment="1">
      <alignment horizontal="center" vertical="center"/>
    </xf>
    <xf numFmtId="1" fontId="1" fillId="9" borderId="73" xfId="3" applyNumberFormat="1" applyFill="1" applyBorder="1" applyAlignment="1">
      <alignment horizontal="center" vertical="center"/>
    </xf>
    <xf numFmtId="1" fontId="1" fillId="9" borderId="74" xfId="3" applyNumberFormat="1" applyFill="1" applyBorder="1" applyAlignment="1">
      <alignment horizontal="center" vertical="center"/>
    </xf>
    <xf numFmtId="1" fontId="1" fillId="9" borderId="75" xfId="3" applyNumberFormat="1" applyFill="1" applyBorder="1" applyAlignment="1">
      <alignment horizontal="center" vertical="center"/>
    </xf>
    <xf numFmtId="1" fontId="1" fillId="9" borderId="76" xfId="3" applyNumberFormat="1" applyFill="1" applyBorder="1" applyAlignment="1">
      <alignment horizontal="center" vertical="center"/>
    </xf>
    <xf numFmtId="1" fontId="1" fillId="9" borderId="77" xfId="3" applyNumberFormat="1" applyFill="1" applyBorder="1" applyAlignment="1">
      <alignment horizontal="center" vertical="center"/>
    </xf>
    <xf numFmtId="0" fontId="1" fillId="0" borderId="23" xfId="3" applyBorder="1"/>
    <xf numFmtId="0" fontId="7" fillId="2" borderId="27" xfId="3" applyFont="1" applyFill="1" applyBorder="1" applyAlignment="1">
      <alignment horizontal="center"/>
    </xf>
    <xf numFmtId="0" fontId="7" fillId="2" borderId="28" xfId="3" applyFont="1" applyFill="1" applyBorder="1" applyAlignment="1">
      <alignment horizontal="center"/>
    </xf>
    <xf numFmtId="0" fontId="7" fillId="2" borderId="29" xfId="3" applyFont="1" applyFill="1" applyBorder="1" applyAlignment="1">
      <alignment horizontal="center"/>
    </xf>
    <xf numFmtId="0" fontId="1" fillId="0" borderId="0" xfId="3" applyFill="1" applyBorder="1" applyAlignment="1">
      <alignment horizontal="center"/>
    </xf>
    <xf numFmtId="20" fontId="1" fillId="10" borderId="0" xfId="3" applyNumberFormat="1" applyFill="1"/>
    <xf numFmtId="1" fontId="0" fillId="11" borderId="97" xfId="0" applyNumberFormat="1" applyFill="1" applyBorder="1" applyAlignment="1">
      <alignment horizontal="center" vertical="center"/>
    </xf>
    <xf numFmtId="0" fontId="1" fillId="0" borderId="36" xfId="3" applyFill="1" applyBorder="1" applyAlignment="1">
      <alignment horizontal="center"/>
    </xf>
    <xf numFmtId="165" fontId="26" fillId="0" borderId="83" xfId="3" applyNumberFormat="1" applyFont="1" applyFill="1" applyBorder="1" applyAlignment="1">
      <alignment horizontal="center" vertical="center"/>
    </xf>
    <xf numFmtId="165" fontId="26" fillId="0" borderId="76" xfId="3" applyNumberFormat="1" applyFont="1" applyFill="1" applyBorder="1" applyAlignment="1">
      <alignment horizontal="center" vertical="center"/>
    </xf>
  </cellXfs>
  <cellStyles count="4">
    <cellStyle name="Normal" xfId="0" builtinId="0"/>
    <cellStyle name="Normal 2" xfId="2"/>
    <cellStyle name="Normal 2 2" xfId="3"/>
    <cellStyle name="Pourcentage" xfId="1" builtinId="5"/>
  </cellStyles>
  <dxfs count="63">
    <dxf>
      <font>
        <b/>
        <i val="0"/>
        <color theme="0"/>
      </font>
      <fill>
        <gradientFill type="path">
          <stop position="0">
            <color theme="0" tint="-0.49803155613879818"/>
          </stop>
          <stop position="1">
            <color rgb="FF612C21"/>
          </stop>
        </gradientFill>
      </fill>
    </dxf>
    <dxf>
      <fill>
        <gradientFill type="path">
          <stop position="0">
            <color theme="0"/>
          </stop>
          <stop position="1">
            <color rgb="FF00B050"/>
          </stop>
        </gradientFill>
      </fill>
    </dxf>
    <dxf>
      <fill>
        <gradientFill type="path">
          <stop position="0">
            <color theme="7" tint="-0.25098422193060094"/>
          </stop>
          <stop position="1">
            <color rgb="FFFFC000"/>
          </stop>
        </gradientFill>
      </fill>
    </dxf>
    <dxf>
      <font>
        <b/>
        <i val="0"/>
        <color theme="0"/>
      </font>
      <fill>
        <gradientFill type="path">
          <stop position="0">
            <color theme="0" tint="-0.49803155613879818"/>
          </stop>
          <stop position="1">
            <color rgb="FF612C21"/>
          </stop>
        </gradientFill>
      </fill>
    </dxf>
    <dxf>
      <fill>
        <gradientFill degree="90">
          <stop position="0">
            <color theme="0"/>
          </stop>
          <stop position="1">
            <color rgb="FFFFCC00"/>
          </stop>
        </gradientFill>
      </fill>
    </dxf>
    <dxf>
      <fill>
        <gradientFill type="path" left="0.5" right="0.5" top="0.5" bottom="0.5">
          <stop position="0">
            <color rgb="FFCCA284"/>
          </stop>
          <stop position="1">
            <color rgb="FFCCA284" tint="-0.39997558519241921"/>
          </stop>
        </gradientFill>
      </fill>
    </dxf>
    <dxf>
      <font>
        <color theme="0"/>
      </font>
      <fill>
        <patternFill>
          <bgColor theme="3" tint="-0.24994659260841701"/>
        </patternFill>
      </fill>
    </dxf>
    <dxf>
      <fill>
        <gradientFill type="path">
          <stop position="0">
            <color theme="0"/>
          </stop>
          <stop position="1">
            <color theme="5"/>
          </stop>
        </gradientFill>
      </fill>
    </dxf>
    <dxf>
      <fill>
        <gradientFill type="path">
          <stop position="0">
            <color theme="2" tint="-0.49803155613879818"/>
          </stop>
          <stop position="1">
            <color rgb="FFFFC000"/>
          </stop>
        </gradientFill>
      </fill>
    </dxf>
    <dxf>
      <font>
        <b/>
        <i val="0"/>
        <color theme="0"/>
      </font>
      <fill>
        <gradientFill type="path">
          <stop position="0">
            <color theme="0" tint="-0.49803155613879818"/>
          </stop>
          <stop position="1">
            <color rgb="FF612C21"/>
          </stop>
        </gradientFill>
      </fill>
    </dxf>
    <dxf>
      <fill>
        <gradientFill type="path">
          <stop position="0">
            <color theme="0"/>
          </stop>
          <stop position="1">
            <color rgb="FF00B050"/>
          </stop>
        </gradientFill>
      </fill>
    </dxf>
    <dxf>
      <fill>
        <gradientFill type="path">
          <stop position="0">
            <color theme="7" tint="-0.25098422193060094"/>
          </stop>
          <stop position="1">
            <color rgb="FFFFC000"/>
          </stop>
        </gradientFill>
      </fill>
    </dxf>
    <dxf>
      <font>
        <b/>
        <i val="0"/>
        <color theme="0"/>
      </font>
      <fill>
        <gradientFill type="path">
          <stop position="0">
            <color theme="0" tint="-0.49803155613879818"/>
          </stop>
          <stop position="1">
            <color rgb="FF612C21"/>
          </stop>
        </gradientFill>
      </fill>
    </dxf>
    <dxf>
      <fill>
        <gradientFill degree="90">
          <stop position="0">
            <color theme="0"/>
          </stop>
          <stop position="1">
            <color rgb="FFFFCC00"/>
          </stop>
        </gradientFill>
      </fill>
    </dxf>
    <dxf>
      <fill>
        <gradientFill type="path" left="0.5" right="0.5" top="0.5" bottom="0.5">
          <stop position="0">
            <color rgb="FFCCA284"/>
          </stop>
          <stop position="1">
            <color rgb="FFCCA284" tint="-0.39997558519241921"/>
          </stop>
        </gradientFill>
      </fill>
    </dxf>
    <dxf>
      <font>
        <color theme="0"/>
      </font>
      <fill>
        <patternFill>
          <bgColor theme="3" tint="-0.24994659260841701"/>
        </patternFill>
      </fill>
    </dxf>
    <dxf>
      <fill>
        <gradientFill type="path">
          <stop position="0">
            <color theme="0"/>
          </stop>
          <stop position="1">
            <color theme="5"/>
          </stop>
        </gradientFill>
      </fill>
    </dxf>
    <dxf>
      <fill>
        <gradientFill type="path">
          <stop position="0">
            <color theme="2" tint="-0.49803155613879818"/>
          </stop>
          <stop position="1">
            <color rgb="FFFFC000"/>
          </stop>
        </gradientFill>
      </fill>
    </dxf>
    <dxf>
      <font>
        <b/>
        <i val="0"/>
        <color theme="0"/>
      </font>
      <fill>
        <gradientFill type="path">
          <stop position="0">
            <color theme="0" tint="-0.49803155613879818"/>
          </stop>
          <stop position="1">
            <color rgb="FF612C21"/>
          </stop>
        </gradientFill>
      </fill>
    </dxf>
    <dxf>
      <fill>
        <gradientFill type="path">
          <stop position="0">
            <color theme="0"/>
          </stop>
          <stop position="1">
            <color rgb="FF00B050"/>
          </stop>
        </gradientFill>
      </fill>
    </dxf>
    <dxf>
      <fill>
        <gradientFill type="path">
          <stop position="0">
            <color theme="7" tint="-0.25098422193060094"/>
          </stop>
          <stop position="1">
            <color rgb="FFFFC000"/>
          </stop>
        </gradientFill>
      </fill>
    </dxf>
    <dxf>
      <font>
        <b/>
        <i val="0"/>
        <color theme="0"/>
      </font>
      <fill>
        <gradientFill type="path">
          <stop position="0">
            <color theme="0" tint="-0.49803155613879818"/>
          </stop>
          <stop position="1">
            <color rgb="FF612C21"/>
          </stop>
        </gradientFill>
      </fill>
    </dxf>
    <dxf>
      <fill>
        <gradientFill degree="90">
          <stop position="0">
            <color theme="0"/>
          </stop>
          <stop position="1">
            <color rgb="FFFFCC00"/>
          </stop>
        </gradientFill>
      </fill>
    </dxf>
    <dxf>
      <fill>
        <gradientFill type="path" left="0.5" right="0.5" top="0.5" bottom="0.5">
          <stop position="0">
            <color rgb="FFCCA284"/>
          </stop>
          <stop position="1">
            <color rgb="FFCCA284" tint="-0.39997558519241921"/>
          </stop>
        </gradientFill>
      </fill>
    </dxf>
    <dxf>
      <font>
        <color theme="0"/>
      </font>
      <fill>
        <patternFill>
          <bgColor theme="3" tint="-0.24994659260841701"/>
        </patternFill>
      </fill>
    </dxf>
    <dxf>
      <fill>
        <gradientFill type="path">
          <stop position="0">
            <color theme="0"/>
          </stop>
          <stop position="1">
            <color rgb="FF00B050"/>
          </stop>
        </gradientFill>
      </fill>
    </dxf>
    <dxf>
      <fill>
        <gradientFill type="path">
          <stop position="0">
            <color theme="7" tint="-0.25098422193060094"/>
          </stop>
          <stop position="1">
            <color rgb="FFFFC000"/>
          </stop>
        </gradientFill>
      </fill>
    </dxf>
    <dxf>
      <font>
        <b/>
        <i val="0"/>
        <color theme="0"/>
      </font>
      <fill>
        <gradientFill type="path">
          <stop position="0">
            <color theme="0" tint="-0.49803155613879818"/>
          </stop>
          <stop position="1">
            <color rgb="FF612C21"/>
          </stop>
        </gradientFill>
      </fill>
    </dxf>
    <dxf>
      <fill>
        <gradientFill degree="90">
          <stop position="0">
            <color theme="0"/>
          </stop>
          <stop position="1">
            <color rgb="FFFFCC00"/>
          </stop>
        </gradientFill>
      </fill>
    </dxf>
    <dxf>
      <fill>
        <gradientFill type="path" left="0.5" right="0.5" top="0.5" bottom="0.5">
          <stop position="0">
            <color rgb="FFCCA284"/>
          </stop>
          <stop position="1">
            <color rgb="FFCCA284" tint="-0.39997558519241921"/>
          </stop>
        </gradientFill>
      </fill>
    </dxf>
    <dxf>
      <font>
        <color theme="0"/>
      </font>
      <fill>
        <patternFill>
          <bgColor theme="3" tint="-0.24994659260841701"/>
        </patternFill>
      </fill>
    </dxf>
    <dxf>
      <fill>
        <gradientFill type="path">
          <stop position="0">
            <color theme="0"/>
          </stop>
          <stop position="1">
            <color theme="5"/>
          </stop>
        </gradientFill>
      </fill>
    </dxf>
    <dxf>
      <fill>
        <gradientFill type="path">
          <stop position="0">
            <color theme="2" tint="-0.49803155613879818"/>
          </stop>
          <stop position="1">
            <color rgb="FFFFC000"/>
          </stop>
        </gradientFill>
      </fill>
    </dxf>
    <dxf>
      <fill>
        <gradientFill type="path">
          <stop position="0">
            <color theme="0"/>
          </stop>
          <stop position="1">
            <color rgb="FF00B050"/>
          </stop>
        </gradientFill>
      </fill>
    </dxf>
    <dxf>
      <fill>
        <gradientFill degree="90">
          <stop position="0">
            <color theme="0"/>
          </stop>
          <stop position="1">
            <color rgb="FFFFCC00"/>
          </stop>
        </gradientFill>
      </fill>
    </dxf>
    <dxf>
      <fill>
        <gradientFill type="path" left="0.5" right="0.5" top="0.5" bottom="0.5">
          <stop position="0">
            <color rgb="FFCCA284"/>
          </stop>
          <stop position="1">
            <color rgb="FFCCA284" tint="-0.39997558519241921"/>
          </stop>
        </gradientFill>
      </fill>
    </dxf>
    <dxf>
      <font>
        <b/>
        <i val="0"/>
        <color theme="0"/>
      </font>
      <fill>
        <gradientFill type="path">
          <stop position="0">
            <color theme="0" tint="-0.49803155613879818"/>
          </stop>
          <stop position="1">
            <color rgb="FF612C21"/>
          </stop>
        </gradientFill>
      </fill>
    </dxf>
    <dxf>
      <fill>
        <gradientFill type="path">
          <stop position="0">
            <color theme="0"/>
          </stop>
          <stop position="1">
            <color rgb="FF00B050"/>
          </stop>
        </gradientFill>
      </fill>
    </dxf>
    <dxf>
      <fill>
        <gradientFill type="path">
          <stop position="0">
            <color theme="7" tint="-0.25098422193060094"/>
          </stop>
          <stop position="1">
            <color rgb="FFFFC000"/>
          </stop>
        </gradientFill>
      </fill>
    </dxf>
    <dxf>
      <font>
        <b/>
        <i val="0"/>
        <color theme="0"/>
      </font>
      <fill>
        <gradientFill type="path">
          <stop position="0">
            <color theme="0" tint="-0.49803155613879818"/>
          </stop>
          <stop position="1">
            <color rgb="FF612C21"/>
          </stop>
        </gradientFill>
      </fill>
    </dxf>
    <dxf>
      <fill>
        <gradientFill degree="90">
          <stop position="0">
            <color theme="0"/>
          </stop>
          <stop position="1">
            <color rgb="FFFFCC00"/>
          </stop>
        </gradientFill>
      </fill>
    </dxf>
    <dxf>
      <fill>
        <gradientFill type="path" left="0.5" right="0.5" top="0.5" bottom="0.5">
          <stop position="0">
            <color rgb="FFCCA284"/>
          </stop>
          <stop position="1">
            <color rgb="FFCCA284" tint="-0.39997558519241921"/>
          </stop>
        </gradientFill>
      </fill>
    </dxf>
    <dxf>
      <font>
        <color theme="0"/>
      </font>
      <fill>
        <patternFill>
          <bgColor theme="3" tint="-0.24994659260841701"/>
        </patternFill>
      </fill>
    </dxf>
    <dxf>
      <fill>
        <gradientFill type="path">
          <stop position="0">
            <color theme="0"/>
          </stop>
          <stop position="1">
            <color theme="5"/>
          </stop>
        </gradientFill>
      </fill>
    </dxf>
    <dxf>
      <fill>
        <gradientFill type="path">
          <stop position="0">
            <color theme="2" tint="-0.49803155613879818"/>
          </stop>
          <stop position="1">
            <color rgb="FFFFC000"/>
          </stop>
        </gradientFill>
      </fill>
    </dxf>
    <dxf>
      <font>
        <b/>
        <i val="0"/>
        <color theme="0"/>
      </font>
      <fill>
        <gradientFill type="path">
          <stop position="0">
            <color theme="0" tint="-0.49803155613879818"/>
          </stop>
          <stop position="1">
            <color rgb="FF612C21"/>
          </stop>
        </gradientFill>
      </fill>
    </dxf>
    <dxf>
      <fill>
        <gradientFill type="path">
          <stop position="0">
            <color theme="0"/>
          </stop>
          <stop position="1">
            <color rgb="FF00B050"/>
          </stop>
        </gradientFill>
      </fill>
    </dxf>
    <dxf>
      <fill>
        <gradientFill type="path">
          <stop position="0">
            <color theme="7" tint="-0.25098422193060094"/>
          </stop>
          <stop position="1">
            <color rgb="FFFFC000"/>
          </stop>
        </gradientFill>
      </fill>
    </dxf>
    <dxf>
      <font>
        <b/>
        <i val="0"/>
        <color theme="0"/>
      </font>
      <fill>
        <gradientFill type="path">
          <stop position="0">
            <color theme="0" tint="-0.49803155613879818"/>
          </stop>
          <stop position="1">
            <color rgb="FF612C21"/>
          </stop>
        </gradientFill>
      </fill>
    </dxf>
    <dxf>
      <fill>
        <gradientFill degree="90">
          <stop position="0">
            <color theme="0"/>
          </stop>
          <stop position="1">
            <color rgb="FFFFCC00"/>
          </stop>
        </gradientFill>
      </fill>
    </dxf>
    <dxf>
      <fill>
        <gradientFill type="path" left="0.5" right="0.5" top="0.5" bottom="0.5">
          <stop position="0">
            <color rgb="FFCCA284"/>
          </stop>
          <stop position="1">
            <color rgb="FFCCA284" tint="-0.39997558519241921"/>
          </stop>
        </gradientFill>
      </fill>
    </dxf>
    <dxf>
      <font>
        <color theme="0"/>
      </font>
      <fill>
        <patternFill>
          <bgColor theme="3" tint="-0.24994659260841701"/>
        </patternFill>
      </fill>
    </dxf>
    <dxf>
      <fill>
        <gradientFill type="path">
          <stop position="0">
            <color theme="0"/>
          </stop>
          <stop position="1">
            <color rgb="FF00B050"/>
          </stop>
        </gradientFill>
      </fill>
    </dxf>
    <dxf>
      <fill>
        <gradientFill type="path">
          <stop position="0">
            <color theme="7" tint="-0.25098422193060094"/>
          </stop>
          <stop position="1">
            <color rgb="FFFFC000"/>
          </stop>
        </gradientFill>
      </fill>
    </dxf>
    <dxf>
      <font>
        <b/>
        <i val="0"/>
        <color theme="0"/>
      </font>
      <fill>
        <gradientFill type="path">
          <stop position="0">
            <color theme="0" tint="-0.49803155613879818"/>
          </stop>
          <stop position="1">
            <color rgb="FF612C21"/>
          </stop>
        </gradientFill>
      </fill>
    </dxf>
    <dxf>
      <fill>
        <gradientFill degree="90">
          <stop position="0">
            <color theme="0"/>
          </stop>
          <stop position="1">
            <color rgb="FFFFCC00"/>
          </stop>
        </gradientFill>
      </fill>
    </dxf>
    <dxf>
      <fill>
        <gradientFill type="path" left="0.5" right="0.5" top="0.5" bottom="0.5">
          <stop position="0">
            <color rgb="FFCCA284"/>
          </stop>
          <stop position="1">
            <color rgb="FFCCA284" tint="-0.39997558519241921"/>
          </stop>
        </gradientFill>
      </fill>
    </dxf>
    <dxf>
      <font>
        <color theme="0"/>
      </font>
      <fill>
        <patternFill>
          <bgColor theme="3" tint="-0.24994659260841701"/>
        </patternFill>
      </fill>
    </dxf>
    <dxf>
      <fill>
        <gradientFill type="path">
          <stop position="0">
            <color theme="0"/>
          </stop>
          <stop position="1">
            <color theme="5"/>
          </stop>
        </gradientFill>
      </fill>
    </dxf>
    <dxf>
      <fill>
        <gradientFill type="path">
          <stop position="0">
            <color theme="2" tint="-0.49803155613879818"/>
          </stop>
          <stop position="1">
            <color rgb="FFFFC000"/>
          </stop>
        </gradientFill>
      </fill>
    </dxf>
    <dxf>
      <fill>
        <gradientFill type="path">
          <stop position="0">
            <color theme="0"/>
          </stop>
          <stop position="1">
            <color rgb="FF00B050"/>
          </stop>
        </gradientFill>
      </fill>
    </dxf>
    <dxf>
      <fill>
        <gradientFill degree="90">
          <stop position="0">
            <color theme="0"/>
          </stop>
          <stop position="1">
            <color rgb="FFFFCC00"/>
          </stop>
        </gradientFill>
      </fill>
    </dxf>
    <dxf>
      <fill>
        <gradientFill type="path" left="0.5" right="0.5" top="0.5" bottom="0.5">
          <stop position="0">
            <color rgb="FFCCA284"/>
          </stop>
          <stop position="1">
            <color rgb="FFCCA284" tint="-0.39997558519241921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2.xml"/><Relationship Id="rId10" Type="http://schemas.openxmlformats.org/officeDocument/2006/relationships/styles" Target="styles.xml"/><Relationship Id="rId4" Type="http://schemas.openxmlformats.org/officeDocument/2006/relationships/externalLink" Target="externalLinks/externalLink1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676275</xdr:colOff>
          <xdr:row>0</xdr:row>
          <xdr:rowOff>95250</xdr:rowOff>
        </xdr:from>
        <xdr:to>
          <xdr:col>1</xdr:col>
          <xdr:colOff>1543050</xdr:colOff>
          <xdr:row>0</xdr:row>
          <xdr:rowOff>485775</xdr:rowOff>
        </xdr:to>
        <xdr:sp macro="" textlink="">
          <xdr:nvSpPr>
            <xdr:cNvPr id="1025" name="Button 3" descr="un_zoo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l" rtl="0">
                <a:defRPr sz="1000"/>
              </a:pPr>
              <a:r>
                <a:rPr lang="fr-FR" sz="1200" b="1" i="1" u="none" strike="noStrike" baseline="0">
                  <a:solidFill>
                    <a:srgbClr val="FF0000"/>
                  </a:solidFill>
                  <a:latin typeface="ITC Avant Garde Std Bk"/>
                </a:rPr>
                <a:t>◄unzoom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95250</xdr:rowOff>
        </xdr:from>
        <xdr:to>
          <xdr:col>1</xdr:col>
          <xdr:colOff>695325</xdr:colOff>
          <xdr:row>0</xdr:row>
          <xdr:rowOff>485775</xdr:rowOff>
        </xdr:to>
        <xdr:sp macro="" textlink="">
          <xdr:nvSpPr>
            <xdr:cNvPr id="1026" name="Button 4" descr="zoom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r" rtl="0">
                <a:defRPr sz="1000"/>
              </a:pPr>
              <a:r>
                <a:rPr lang="fr-FR" sz="1300" b="1" i="1" u="none" strike="noStrike" baseline="0">
                  <a:solidFill>
                    <a:srgbClr val="FF0000"/>
                  </a:solidFill>
                  <a:latin typeface="ITC Avant Garde Std Bk"/>
                </a:rPr>
                <a:t>zoom►</a:t>
              </a:r>
              <a:r>
                <a:rPr lang="fr-FR" sz="1400" b="1" i="1" u="none" strike="noStrike" baseline="0">
                  <a:solidFill>
                    <a:srgbClr val="FF0000"/>
                  </a:solidFill>
                  <a:latin typeface="ITC Avant Garde Std Bk"/>
                </a:rPr>
                <a:t> 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676275</xdr:colOff>
          <xdr:row>0</xdr:row>
          <xdr:rowOff>95250</xdr:rowOff>
        </xdr:from>
        <xdr:to>
          <xdr:col>1</xdr:col>
          <xdr:colOff>1543050</xdr:colOff>
          <xdr:row>0</xdr:row>
          <xdr:rowOff>485775</xdr:rowOff>
        </xdr:to>
        <xdr:sp macro="" textlink="">
          <xdr:nvSpPr>
            <xdr:cNvPr id="2049" name="Button 3" descr="un_zoo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l" rtl="0">
                <a:defRPr sz="1000"/>
              </a:pPr>
              <a:r>
                <a:rPr lang="fr-FR" sz="1200" b="1" i="1" u="none" strike="noStrike" baseline="0">
                  <a:solidFill>
                    <a:srgbClr val="FF0000"/>
                  </a:solidFill>
                  <a:latin typeface="ITC Avant Garde Std Bk"/>
                </a:rPr>
                <a:t>◄unzoom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95250</xdr:rowOff>
        </xdr:from>
        <xdr:to>
          <xdr:col>1</xdr:col>
          <xdr:colOff>695325</xdr:colOff>
          <xdr:row>0</xdr:row>
          <xdr:rowOff>485775</xdr:rowOff>
        </xdr:to>
        <xdr:sp macro="" textlink="">
          <xdr:nvSpPr>
            <xdr:cNvPr id="2050" name="Button 4" descr="zoo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r" rtl="0">
                <a:defRPr sz="1000"/>
              </a:pPr>
              <a:r>
                <a:rPr lang="fr-FR" sz="1300" b="1" i="1" u="none" strike="noStrike" baseline="0">
                  <a:solidFill>
                    <a:srgbClr val="FF0000"/>
                  </a:solidFill>
                  <a:latin typeface="ITC Avant Garde Std Bk"/>
                </a:rPr>
                <a:t>zoom►</a:t>
              </a:r>
              <a:r>
                <a:rPr lang="fr-FR" sz="1400" b="1" i="1" u="none" strike="noStrike" baseline="0">
                  <a:solidFill>
                    <a:srgbClr val="FF0000"/>
                  </a:solidFill>
                  <a:latin typeface="ITC Avant Garde Std Bk"/>
                </a:rPr>
                <a:t>  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anning_PDV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tchaneyou/Desktop/S&#233;rie%20chronologique%20de%20l'&#233;volution%20des%20flux_S1-S30_Pr&#233;vision_S31-S38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tchaneyou/Desktop/Plannings/Mod&#232;le/WFM_PREVISION_V000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tchaneyou/Desktop/Plannings/119/Planning_Hebdo_119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Planning_PDV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évisions"/>
      <sheetName val="Offday"/>
      <sheetName val="Planning"/>
      <sheetName val="Feuil1"/>
    </sheetNames>
    <sheetDataSet>
      <sheetData sheetId="0"/>
      <sheetData sheetId="1">
        <row r="2">
          <cell r="A2" t="str">
            <v>Id Employés</v>
          </cell>
          <cell r="B2" t="str">
            <v>Nom des Employés</v>
          </cell>
          <cell r="C2"/>
          <cell r="D2" t="str">
            <v>A</v>
          </cell>
          <cell r="E2" t="str">
            <v>Shift Types</v>
          </cell>
          <cell r="F2" t="str">
            <v>Shift Starts</v>
          </cell>
          <cell r="G2">
            <v>44865</v>
          </cell>
          <cell r="H2">
            <v>44866</v>
          </cell>
          <cell r="I2">
            <v>44867</v>
          </cell>
          <cell r="J2">
            <v>44868</v>
          </cell>
          <cell r="K2">
            <v>44869</v>
          </cell>
          <cell r="L2">
            <v>44870</v>
          </cell>
          <cell r="M2">
            <v>44871</v>
          </cell>
          <cell r="N2">
            <v>44872</v>
          </cell>
          <cell r="O2">
            <v>44873</v>
          </cell>
          <cell r="P2">
            <v>44874</v>
          </cell>
          <cell r="Q2">
            <v>44875</v>
          </cell>
          <cell r="R2">
            <v>44876</v>
          </cell>
          <cell r="S2">
            <v>44877</v>
          </cell>
          <cell r="T2">
            <v>44878</v>
          </cell>
          <cell r="U2">
            <v>44879</v>
          </cell>
          <cell r="V2">
            <v>44880</v>
          </cell>
          <cell r="W2">
            <v>44881</v>
          </cell>
          <cell r="X2">
            <v>44882</v>
          </cell>
          <cell r="Y2">
            <v>44883</v>
          </cell>
          <cell r="Z2">
            <v>44884</v>
          </cell>
          <cell r="AA2">
            <v>44885</v>
          </cell>
          <cell r="AB2">
            <v>44886</v>
          </cell>
          <cell r="AC2">
            <v>44887</v>
          </cell>
          <cell r="AD2">
            <v>44888</v>
          </cell>
          <cell r="AE2">
            <v>44889</v>
          </cell>
          <cell r="AF2">
            <v>44890</v>
          </cell>
          <cell r="AG2">
            <v>44891</v>
          </cell>
          <cell r="AH2">
            <v>44892</v>
          </cell>
          <cell r="AI2">
            <v>44893</v>
          </cell>
          <cell r="AJ2">
            <v>44894</v>
          </cell>
          <cell r="AK2">
            <v>44895</v>
          </cell>
          <cell r="AL2" t="str">
            <v>Total Shift Jour</v>
          </cell>
          <cell r="AM2" t="str">
            <v>Total Shift Soir</v>
          </cell>
          <cell r="AN2" t="str">
            <v>Total Jours OFF</v>
          </cell>
          <cell r="AO2" t="str">
            <v>Types de Shift</v>
          </cell>
          <cell r="AV2" t="str">
            <v>Janvier</v>
          </cell>
          <cell r="AW2">
            <v>2022</v>
          </cell>
        </row>
        <row r="3">
          <cell r="A3">
            <v>1</v>
          </cell>
          <cell r="B3" t="str">
            <v>ZANOU Steven Renaud</v>
          </cell>
          <cell r="C3">
            <v>0.29166666666666669</v>
          </cell>
          <cell r="D3">
            <v>0.29166666666666669</v>
          </cell>
          <cell r="E3">
            <v>0.5</v>
          </cell>
          <cell r="F3">
            <v>0.375</v>
          </cell>
          <cell r="G3"/>
          <cell r="H3"/>
          <cell r="I3"/>
          <cell r="J3"/>
          <cell r="K3" t="str">
            <v>O</v>
          </cell>
          <cell r="L3"/>
          <cell r="M3" t="str">
            <v>O</v>
          </cell>
          <cell r="N3"/>
          <cell r="O3"/>
          <cell r="P3"/>
          <cell r="Q3" t="str">
            <v>O</v>
          </cell>
          <cell r="R3"/>
          <cell r="S3" t="str">
            <v>O</v>
          </cell>
          <cell r="T3"/>
          <cell r="U3"/>
          <cell r="V3"/>
          <cell r="W3"/>
          <cell r="X3"/>
          <cell r="Y3"/>
          <cell r="Z3"/>
          <cell r="AA3"/>
          <cell r="AB3"/>
          <cell r="AC3"/>
          <cell r="AD3"/>
          <cell r="AE3"/>
          <cell r="AF3"/>
          <cell r="AG3"/>
          <cell r="AH3"/>
          <cell r="AI3"/>
          <cell r="AJ3"/>
          <cell r="AK3"/>
          <cell r="AV3" t="str">
            <v>Février</v>
          </cell>
          <cell r="AW3">
            <v>2023</v>
          </cell>
        </row>
        <row r="4">
          <cell r="A4">
            <v>2</v>
          </cell>
          <cell r="B4" t="str">
            <v>YAWO Komi Etsè A</v>
          </cell>
          <cell r="C4">
            <v>0.29166666666666669</v>
          </cell>
          <cell r="D4">
            <v>0.29166666666666669</v>
          </cell>
          <cell r="E4">
            <v>0.5</v>
          </cell>
          <cell r="F4">
            <v>0.375</v>
          </cell>
          <cell r="G4"/>
          <cell r="H4"/>
          <cell r="I4"/>
          <cell r="J4" t="str">
            <v>O</v>
          </cell>
          <cell r="K4"/>
          <cell r="L4"/>
          <cell r="M4" t="str">
            <v>O</v>
          </cell>
          <cell r="N4"/>
          <cell r="O4" t="str">
            <v>O</v>
          </cell>
          <cell r="P4"/>
          <cell r="Q4" t="str">
            <v>O</v>
          </cell>
          <cell r="R4"/>
          <cell r="S4"/>
          <cell r="T4"/>
          <cell r="U4"/>
          <cell r="V4"/>
          <cell r="W4"/>
          <cell r="X4"/>
          <cell r="Y4"/>
          <cell r="Z4"/>
          <cell r="AA4"/>
          <cell r="AB4"/>
          <cell r="AC4"/>
          <cell r="AD4"/>
          <cell r="AE4"/>
          <cell r="AF4"/>
          <cell r="AG4"/>
          <cell r="AH4"/>
          <cell r="AI4"/>
          <cell r="AJ4"/>
          <cell r="AK4"/>
          <cell r="AV4" t="str">
            <v>Mars</v>
          </cell>
          <cell r="AW4">
            <v>2024</v>
          </cell>
        </row>
        <row r="5">
          <cell r="A5">
            <v>3</v>
          </cell>
          <cell r="B5" t="str">
            <v>TIGOE Ahlonkoba Nadège</v>
          </cell>
          <cell r="C5">
            <v>0.29166666666666669</v>
          </cell>
          <cell r="D5">
            <v>0.29166666666666669</v>
          </cell>
          <cell r="E5">
            <v>0.375</v>
          </cell>
          <cell r="F5">
            <v>0.5</v>
          </cell>
          <cell r="G5" t="str">
            <v>O</v>
          </cell>
          <cell r="H5"/>
          <cell r="I5"/>
          <cell r="J5"/>
          <cell r="K5"/>
          <cell r="L5"/>
          <cell r="M5" t="str">
            <v>O</v>
          </cell>
          <cell r="N5"/>
          <cell r="O5"/>
          <cell r="P5" t="str">
            <v>O</v>
          </cell>
          <cell r="Q5"/>
          <cell r="R5"/>
          <cell r="S5" t="str">
            <v>O</v>
          </cell>
          <cell r="T5"/>
          <cell r="U5"/>
          <cell r="V5"/>
          <cell r="W5"/>
          <cell r="X5"/>
          <cell r="Y5"/>
          <cell r="Z5"/>
          <cell r="AA5"/>
          <cell r="AB5"/>
          <cell r="AC5"/>
          <cell r="AD5"/>
          <cell r="AE5"/>
          <cell r="AF5"/>
          <cell r="AG5"/>
          <cell r="AH5"/>
          <cell r="AI5"/>
          <cell r="AJ5"/>
          <cell r="AK5"/>
          <cell r="AV5" t="str">
            <v>Avril</v>
          </cell>
          <cell r="AW5">
            <v>2025</v>
          </cell>
        </row>
        <row r="6">
          <cell r="A6">
            <v>4</v>
          </cell>
          <cell r="B6" t="str">
            <v>TETEVI Kokovi Georgette</v>
          </cell>
          <cell r="C6">
            <v>0.29166666666666669</v>
          </cell>
          <cell r="D6">
            <v>0.29166666666666669</v>
          </cell>
          <cell r="E6">
            <v>0.375</v>
          </cell>
          <cell r="F6">
            <v>0.5</v>
          </cell>
          <cell r="G6" t="str">
            <v>C</v>
          </cell>
          <cell r="H6" t="str">
            <v>C</v>
          </cell>
          <cell r="I6" t="str">
            <v>C</v>
          </cell>
          <cell r="J6" t="str">
            <v>C</v>
          </cell>
          <cell r="K6" t="str">
            <v>C</v>
          </cell>
          <cell r="L6" t="str">
            <v>C</v>
          </cell>
          <cell r="M6" t="str">
            <v>C</v>
          </cell>
          <cell r="N6"/>
          <cell r="O6"/>
          <cell r="P6"/>
          <cell r="Q6"/>
          <cell r="R6"/>
          <cell r="S6"/>
          <cell r="T6" t="str">
            <v>O</v>
          </cell>
          <cell r="U6"/>
          <cell r="V6"/>
          <cell r="W6"/>
          <cell r="X6"/>
          <cell r="Y6"/>
          <cell r="Z6"/>
          <cell r="AA6"/>
          <cell r="AB6"/>
          <cell r="AC6"/>
          <cell r="AD6"/>
          <cell r="AE6"/>
          <cell r="AF6"/>
          <cell r="AG6"/>
          <cell r="AH6"/>
          <cell r="AI6"/>
          <cell r="AJ6"/>
          <cell r="AK6"/>
          <cell r="AV6" t="str">
            <v>Mai</v>
          </cell>
          <cell r="AW6">
            <v>2026</v>
          </cell>
        </row>
        <row r="7">
          <cell r="A7">
            <v>5</v>
          </cell>
          <cell r="B7" t="str">
            <v>TEBIE Pélaro</v>
          </cell>
          <cell r="C7">
            <v>0.29166666666666669</v>
          </cell>
          <cell r="D7">
            <v>0.375</v>
          </cell>
          <cell r="E7">
            <v>0.29166666666666669</v>
          </cell>
          <cell r="F7">
            <v>0.5</v>
          </cell>
          <cell r="G7"/>
          <cell r="H7"/>
          <cell r="I7"/>
          <cell r="J7" t="str">
            <v>O</v>
          </cell>
          <cell r="K7"/>
          <cell r="L7"/>
          <cell r="M7" t="str">
            <v>O</v>
          </cell>
          <cell r="N7"/>
          <cell r="O7"/>
          <cell r="P7" t="str">
            <v>O</v>
          </cell>
          <cell r="Q7"/>
          <cell r="R7"/>
          <cell r="S7" t="str">
            <v>O</v>
          </cell>
          <cell r="T7"/>
          <cell r="U7"/>
          <cell r="V7"/>
          <cell r="W7"/>
          <cell r="X7"/>
          <cell r="Y7"/>
          <cell r="Z7"/>
          <cell r="AA7"/>
          <cell r="AB7"/>
          <cell r="AC7"/>
          <cell r="AD7"/>
          <cell r="AE7"/>
          <cell r="AF7"/>
          <cell r="AG7"/>
          <cell r="AH7"/>
          <cell r="AI7"/>
          <cell r="AJ7"/>
          <cell r="AK7"/>
          <cell r="AV7" t="str">
            <v>Juin</v>
          </cell>
          <cell r="AW7">
            <v>2027</v>
          </cell>
        </row>
        <row r="8">
          <cell r="A8">
            <v>6</v>
          </cell>
          <cell r="B8" t="str">
            <v>TCHIKIRI SAMTOU SEBASTIEN</v>
          </cell>
          <cell r="C8">
            <v>0.29166666666666669</v>
          </cell>
          <cell r="D8">
            <v>0.375</v>
          </cell>
          <cell r="E8">
            <v>0.29166666666666669</v>
          </cell>
          <cell r="F8">
            <v>0.5</v>
          </cell>
          <cell r="G8"/>
          <cell r="H8" t="str">
            <v>O</v>
          </cell>
          <cell r="I8"/>
          <cell r="J8"/>
          <cell r="K8"/>
          <cell r="L8" t="str">
            <v>O</v>
          </cell>
          <cell r="M8"/>
          <cell r="N8"/>
          <cell r="O8"/>
          <cell r="P8" t="str">
            <v>O</v>
          </cell>
          <cell r="Q8"/>
          <cell r="R8"/>
          <cell r="S8"/>
          <cell r="T8" t="str">
            <v>O</v>
          </cell>
          <cell r="U8"/>
          <cell r="V8"/>
          <cell r="W8"/>
          <cell r="X8"/>
          <cell r="Y8"/>
          <cell r="Z8"/>
          <cell r="AA8"/>
          <cell r="AB8"/>
          <cell r="AC8"/>
          <cell r="AD8"/>
          <cell r="AE8"/>
          <cell r="AF8"/>
          <cell r="AG8"/>
          <cell r="AH8"/>
          <cell r="AI8"/>
          <cell r="AJ8"/>
          <cell r="AK8"/>
          <cell r="AV8" t="str">
            <v>Juillet</v>
          </cell>
          <cell r="AW8">
            <v>2028</v>
          </cell>
        </row>
        <row r="9">
          <cell r="A9">
            <v>7</v>
          </cell>
          <cell r="B9" t="str">
            <v>NYASSOGBO Stéphane Hénoc</v>
          </cell>
          <cell r="C9">
            <v>0.29166666666666669</v>
          </cell>
          <cell r="D9">
            <v>0.5</v>
          </cell>
          <cell r="E9">
            <v>0.29166666666666669</v>
          </cell>
          <cell r="F9">
            <v>0.375</v>
          </cell>
          <cell r="G9" t="str">
            <v>O</v>
          </cell>
          <cell r="H9"/>
          <cell r="I9"/>
          <cell r="J9"/>
          <cell r="K9"/>
          <cell r="L9"/>
          <cell r="M9" t="str">
            <v>O</v>
          </cell>
          <cell r="N9"/>
          <cell r="O9"/>
          <cell r="P9"/>
          <cell r="Q9"/>
          <cell r="R9" t="str">
            <v>O</v>
          </cell>
          <cell r="S9" t="str">
            <v>O</v>
          </cell>
          <cell r="T9"/>
          <cell r="U9"/>
          <cell r="V9"/>
          <cell r="W9"/>
          <cell r="X9"/>
          <cell r="Y9"/>
          <cell r="Z9"/>
          <cell r="AA9"/>
          <cell r="AB9"/>
          <cell r="AC9"/>
          <cell r="AD9"/>
          <cell r="AE9"/>
          <cell r="AF9"/>
          <cell r="AG9"/>
          <cell r="AH9"/>
          <cell r="AI9"/>
          <cell r="AJ9"/>
          <cell r="AK9"/>
          <cell r="AV9" t="str">
            <v>Août</v>
          </cell>
        </row>
        <row r="10">
          <cell r="A10">
            <v>8</v>
          </cell>
          <cell r="B10" t="str">
            <v>BOKODJIN Koami Richard</v>
          </cell>
          <cell r="C10">
            <v>0.29166666666666669</v>
          </cell>
          <cell r="D10">
            <v>0.5</v>
          </cell>
          <cell r="E10">
            <v>0.375</v>
          </cell>
          <cell r="F10">
            <v>0.5</v>
          </cell>
          <cell r="G10"/>
          <cell r="H10" t="str">
            <v>O</v>
          </cell>
          <cell r="I10"/>
          <cell r="J10"/>
          <cell r="K10"/>
          <cell r="L10" t="str">
            <v>O</v>
          </cell>
          <cell r="M10"/>
          <cell r="N10" t="str">
            <v>O</v>
          </cell>
          <cell r="O10"/>
          <cell r="P10"/>
          <cell r="Q10"/>
          <cell r="R10"/>
          <cell r="S10"/>
          <cell r="T10" t="str">
            <v>O</v>
          </cell>
          <cell r="U10"/>
          <cell r="V10"/>
          <cell r="W10"/>
          <cell r="X10"/>
          <cell r="Y10"/>
          <cell r="Z10"/>
          <cell r="AA10"/>
          <cell r="AB10"/>
          <cell r="AC10"/>
          <cell r="AD10"/>
          <cell r="AE10"/>
          <cell r="AF10"/>
          <cell r="AG10"/>
          <cell r="AH10"/>
          <cell r="AI10"/>
          <cell r="AJ10"/>
          <cell r="AK10"/>
          <cell r="AV10" t="str">
            <v>Septembre</v>
          </cell>
        </row>
        <row r="11">
          <cell r="A11">
            <v>9</v>
          </cell>
          <cell r="B11" t="str">
            <v>BAWA Zaïdatou</v>
          </cell>
          <cell r="C11">
            <v>0.375</v>
          </cell>
          <cell r="D11">
            <v>0.5</v>
          </cell>
          <cell r="E11">
            <v>0.29166666666666669</v>
          </cell>
          <cell r="F11">
            <v>0.29166666666666669</v>
          </cell>
          <cell r="G11"/>
          <cell r="H11"/>
          <cell r="I11" t="str">
            <v>O</v>
          </cell>
          <cell r="J11"/>
          <cell r="K11"/>
          <cell r="L11"/>
          <cell r="M11" t="str">
            <v>O</v>
          </cell>
          <cell r="N11"/>
          <cell r="O11" t="str">
            <v>O</v>
          </cell>
          <cell r="P11"/>
          <cell r="Q11" t="str">
            <v>O</v>
          </cell>
          <cell r="R11"/>
          <cell r="S11"/>
          <cell r="T11"/>
          <cell r="U11"/>
          <cell r="V11"/>
          <cell r="W11"/>
          <cell r="X11"/>
          <cell r="Y11"/>
          <cell r="Z11"/>
          <cell r="AA11"/>
          <cell r="AB11"/>
          <cell r="AC11"/>
          <cell r="AD11"/>
          <cell r="AE11"/>
          <cell r="AF11"/>
          <cell r="AG11"/>
          <cell r="AH11"/>
          <cell r="AI11"/>
          <cell r="AJ11"/>
          <cell r="AK11"/>
          <cell r="AV11" t="str">
            <v>Octobre</v>
          </cell>
        </row>
        <row r="12">
          <cell r="A12">
            <v>10</v>
          </cell>
          <cell r="B12" t="str">
            <v>ATUTONU Ami Beatrice</v>
          </cell>
          <cell r="C12">
            <v>0.375</v>
          </cell>
          <cell r="D12">
            <v>0.5</v>
          </cell>
          <cell r="E12">
            <v>0.29166666666666669</v>
          </cell>
          <cell r="F12">
            <v>0.29166666666666669</v>
          </cell>
          <cell r="G12"/>
          <cell r="H12"/>
          <cell r="I12"/>
          <cell r="J12" t="str">
            <v>O</v>
          </cell>
          <cell r="K12"/>
          <cell r="L12" t="str">
            <v>O</v>
          </cell>
          <cell r="M12"/>
          <cell r="N12"/>
          <cell r="O12"/>
          <cell r="P12"/>
          <cell r="Q12"/>
          <cell r="R12" t="str">
            <v>O</v>
          </cell>
          <cell r="S12"/>
          <cell r="T12" t="str">
            <v>O</v>
          </cell>
          <cell r="U12"/>
          <cell r="V12"/>
          <cell r="W12"/>
          <cell r="X12"/>
          <cell r="Y12"/>
          <cell r="Z12"/>
          <cell r="AA12"/>
          <cell r="AB12"/>
          <cell r="AC12"/>
          <cell r="AD12"/>
          <cell r="AE12"/>
          <cell r="AF12"/>
          <cell r="AG12"/>
          <cell r="AH12"/>
          <cell r="AI12"/>
          <cell r="AJ12"/>
          <cell r="AK12"/>
          <cell r="AV12" t="str">
            <v>Novembre</v>
          </cell>
        </row>
        <row r="13">
          <cell r="A13">
            <v>11</v>
          </cell>
          <cell r="B13" t="str">
            <v>ALAWI Eyana</v>
          </cell>
          <cell r="C13">
            <v>0.5</v>
          </cell>
          <cell r="D13">
            <v>0.5</v>
          </cell>
          <cell r="E13">
            <v>0.29166666666666669</v>
          </cell>
          <cell r="F13">
            <v>0.375</v>
          </cell>
          <cell r="G13"/>
          <cell r="H13"/>
          <cell r="I13"/>
          <cell r="J13"/>
          <cell r="K13" t="str">
            <v>O</v>
          </cell>
          <cell r="L13" t="str">
            <v>O</v>
          </cell>
          <cell r="M13"/>
          <cell r="N13" t="str">
            <v>O</v>
          </cell>
          <cell r="O13"/>
          <cell r="P13"/>
          <cell r="Q13"/>
          <cell r="R13"/>
          <cell r="S13"/>
          <cell r="T13" t="str">
            <v>O</v>
          </cell>
          <cell r="U13"/>
          <cell r="V13"/>
          <cell r="W13"/>
          <cell r="X13"/>
          <cell r="Y13"/>
          <cell r="Z13"/>
          <cell r="AA13"/>
          <cell r="AB13"/>
          <cell r="AC13"/>
          <cell r="AD13"/>
          <cell r="AE13"/>
          <cell r="AF13"/>
          <cell r="AG13"/>
          <cell r="AH13"/>
          <cell r="AI13"/>
          <cell r="AJ13"/>
          <cell r="AK13"/>
          <cell r="AV13" t="str">
            <v>Décembre</v>
          </cell>
        </row>
        <row r="14">
          <cell r="A14">
            <v>12</v>
          </cell>
          <cell r="B14" t="str">
            <v>AGBEVE Ablavi Claire</v>
          </cell>
          <cell r="C14">
            <v>0.5</v>
          </cell>
          <cell r="D14">
            <v>0.29166666666666669</v>
          </cell>
          <cell r="E14">
            <v>0.5</v>
          </cell>
          <cell r="F14">
            <v>0.375</v>
          </cell>
          <cell r="G14"/>
          <cell r="H14"/>
          <cell r="I14" t="str">
            <v>O</v>
          </cell>
          <cell r="J14"/>
          <cell r="K14" t="str">
            <v>O</v>
          </cell>
          <cell r="L14"/>
          <cell r="M14"/>
          <cell r="N14"/>
          <cell r="O14"/>
          <cell r="P14"/>
          <cell r="Q14"/>
          <cell r="R14" t="str">
            <v>O</v>
          </cell>
          <cell r="S14"/>
          <cell r="T14" t="str">
            <v>O</v>
          </cell>
          <cell r="U14"/>
          <cell r="V14"/>
          <cell r="W14"/>
          <cell r="X14"/>
          <cell r="Y14"/>
          <cell r="Z14"/>
          <cell r="AA14"/>
          <cell r="AB14"/>
          <cell r="AC14"/>
          <cell r="AD14"/>
          <cell r="AE14"/>
          <cell r="AF14"/>
          <cell r="AG14"/>
          <cell r="AH14"/>
          <cell r="AI14"/>
          <cell r="AJ14"/>
          <cell r="AK14"/>
        </row>
        <row r="15">
          <cell r="A15">
            <v>13</v>
          </cell>
          <cell r="B15" t="str">
            <v>AFANNOU Yaovi Rene</v>
          </cell>
          <cell r="C15">
            <v>0.5</v>
          </cell>
          <cell r="D15">
            <v>0.29166666666666669</v>
          </cell>
          <cell r="E15">
            <v>0.5</v>
          </cell>
          <cell r="F15">
            <v>0.375</v>
          </cell>
          <cell r="G15"/>
          <cell r="H15"/>
          <cell r="I15" t="str">
            <v>O</v>
          </cell>
          <cell r="J15"/>
          <cell r="K15" t="str">
            <v>O</v>
          </cell>
          <cell r="L15"/>
          <cell r="M15"/>
          <cell r="N15"/>
          <cell r="O15"/>
          <cell r="P15"/>
          <cell r="Q15"/>
          <cell r="R15" t="str">
            <v>O</v>
          </cell>
          <cell r="S15"/>
          <cell r="T15" t="str">
            <v>O</v>
          </cell>
          <cell r="U15"/>
          <cell r="V15"/>
          <cell r="W15"/>
          <cell r="X15"/>
          <cell r="Y15"/>
          <cell r="Z15"/>
          <cell r="AA15"/>
          <cell r="AB15"/>
          <cell r="AC15"/>
          <cell r="AD15"/>
          <cell r="AE15"/>
          <cell r="AF15"/>
          <cell r="AG15"/>
          <cell r="AH15"/>
          <cell r="AI15"/>
          <cell r="AJ15"/>
          <cell r="AK15"/>
        </row>
        <row r="16">
          <cell r="A16">
            <v>14</v>
          </cell>
          <cell r="B16"/>
          <cell r="C16">
            <v>0.5</v>
          </cell>
          <cell r="D16">
            <v>0.29166666666666669</v>
          </cell>
          <cell r="E16">
            <v>0.5</v>
          </cell>
          <cell r="F16">
            <v>0.29166666666666669</v>
          </cell>
          <cell r="G16"/>
          <cell r="H16"/>
          <cell r="I16"/>
          <cell r="J16"/>
          <cell r="K16"/>
          <cell r="L16"/>
          <cell r="M16"/>
          <cell r="N16"/>
          <cell r="O16"/>
          <cell r="P16"/>
          <cell r="Q16"/>
          <cell r="R16"/>
          <cell r="S16"/>
          <cell r="T16"/>
          <cell r="U16"/>
          <cell r="V16"/>
          <cell r="W16"/>
          <cell r="X16"/>
          <cell r="Y16"/>
          <cell r="Z16"/>
          <cell r="AA16"/>
          <cell r="AB16"/>
          <cell r="AC16"/>
          <cell r="AD16"/>
          <cell r="AE16"/>
          <cell r="AF16"/>
          <cell r="AG16"/>
          <cell r="AH16"/>
          <cell r="AI16"/>
          <cell r="AJ16"/>
          <cell r="AK16"/>
        </row>
        <row r="17">
          <cell r="A17">
            <v>15</v>
          </cell>
          <cell r="B17"/>
          <cell r="C17">
            <v>0.5</v>
          </cell>
          <cell r="D17">
            <v>0.29166666666666669</v>
          </cell>
          <cell r="E17">
            <v>0.5</v>
          </cell>
          <cell r="F17">
            <v>0.29166666666666669</v>
          </cell>
          <cell r="G17"/>
          <cell r="H17"/>
          <cell r="I17"/>
          <cell r="J17"/>
          <cell r="K17"/>
          <cell r="L17"/>
          <cell r="M17"/>
          <cell r="N17"/>
          <cell r="O17"/>
          <cell r="P17"/>
          <cell r="Q17"/>
          <cell r="R17"/>
          <cell r="S17"/>
          <cell r="T17"/>
          <cell r="U17"/>
          <cell r="V17"/>
          <cell r="W17"/>
          <cell r="X17"/>
          <cell r="Y17"/>
          <cell r="Z17"/>
          <cell r="AA17"/>
          <cell r="AB17"/>
          <cell r="AC17"/>
          <cell r="AD17"/>
          <cell r="AE17"/>
          <cell r="AF17"/>
          <cell r="AG17"/>
          <cell r="AH17"/>
          <cell r="AI17"/>
          <cell r="AJ17"/>
          <cell r="AK17"/>
        </row>
        <row r="18">
          <cell r="A18">
            <v>16</v>
          </cell>
          <cell r="B18"/>
          <cell r="C18">
            <v>0.58333333333333337</v>
          </cell>
          <cell r="D18">
            <v>0.29166666666666669</v>
          </cell>
          <cell r="E18">
            <v>0.29166666666666669</v>
          </cell>
          <cell r="F18">
            <v>0.58333333333333337</v>
          </cell>
          <cell r="G18"/>
          <cell r="H18"/>
          <cell r="I18"/>
          <cell r="J18"/>
          <cell r="K18"/>
          <cell r="L18"/>
          <cell r="M18"/>
          <cell r="N18"/>
          <cell r="O18"/>
          <cell r="P18"/>
          <cell r="Q18"/>
          <cell r="R18"/>
          <cell r="S18"/>
          <cell r="T18"/>
          <cell r="U18"/>
          <cell r="V18"/>
          <cell r="W18"/>
          <cell r="X18"/>
          <cell r="Y18"/>
          <cell r="Z18"/>
          <cell r="AA18"/>
          <cell r="AB18"/>
          <cell r="AC18"/>
          <cell r="AD18"/>
          <cell r="AE18"/>
          <cell r="AF18"/>
          <cell r="AG18"/>
          <cell r="AH18"/>
          <cell r="AI18"/>
          <cell r="AJ18"/>
          <cell r="AK18"/>
        </row>
      </sheetData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1 (2)"/>
      <sheetName val=" 888"/>
      <sheetName val="Prévision_888_mobile"/>
      <sheetName val="8845"/>
      <sheetName val="Prévision_8845_mobile "/>
      <sheetName val="119"/>
      <sheetName val="Prévision_119"/>
      <sheetName val="Base de données"/>
      <sheetName val="Prévisions"/>
      <sheetName val="Série chronologique de l'évolu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4">
          <cell r="B4">
            <v>1</v>
          </cell>
        </row>
      </sheetData>
      <sheetData sheetId="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de données"/>
      <sheetName val="Prévisions"/>
      <sheetName val="FORECAST"/>
      <sheetName val="FORECAST_119"/>
      <sheetName val="FORECAST_888"/>
      <sheetName val="FORECAST_8845"/>
      <sheetName val="caplan1"/>
      <sheetName val="Feuil2"/>
      <sheetName val="Forecast888mois"/>
      <sheetName val="caplan_FO"/>
      <sheetName val="caplan_BO"/>
      <sheetName val="Prevision_888"/>
      <sheetName val="Prevision_1845"/>
      <sheetName val="Prevision_119_com"/>
      <sheetName val="WFM_PREVISION_V0001"/>
    </sheetNames>
    <sheetDataSet>
      <sheetData sheetId="0"/>
      <sheetData sheetId="1">
        <row r="6">
          <cell r="C6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Master"/>
      <sheetName val="diagramme"/>
      <sheetName val="Diagramme_888"/>
      <sheetName val="Diagramme_8845"/>
      <sheetName val="Master_week "/>
    </sheetNames>
    <sheetDataSet>
      <sheetData sheetId="0">
        <row r="1">
          <cell r="B1" t="str">
            <v>Year_list</v>
          </cell>
          <cell r="C1" t="str">
            <v>Weekend</v>
          </cell>
          <cell r="D1" t="str">
            <v>Holidays</v>
          </cell>
          <cell r="F1" t="str">
            <v>Days_accro</v>
          </cell>
          <cell r="G1" t="str">
            <v>Shift_legends</v>
          </cell>
          <cell r="H1" t="str">
            <v>Shift_A</v>
          </cell>
          <cell r="I1" t="str">
            <v>Shift_B</v>
          </cell>
          <cell r="J1" t="str">
            <v>Shift_C</v>
          </cell>
          <cell r="K1" t="str">
            <v>Shift_D</v>
          </cell>
          <cell r="L1" t="str">
            <v>Shift_E</v>
          </cell>
          <cell r="M1" t="str">
            <v>Shift_F</v>
          </cell>
          <cell r="N1" t="str">
            <v>Shift_G</v>
          </cell>
          <cell r="O1" t="str">
            <v>Shift_H</v>
          </cell>
          <cell r="P1" t="str">
            <v>Shift_I</v>
          </cell>
          <cell r="Q1" t="str">
            <v>Shift_J</v>
          </cell>
          <cell r="R1" t="str">
            <v>Shift_K</v>
          </cell>
          <cell r="S1" t="str">
            <v>Shift_L</v>
          </cell>
          <cell r="T1" t="str">
            <v>Shift_M</v>
          </cell>
          <cell r="U1" t="str">
            <v>Shift_N</v>
          </cell>
          <cell r="V1" t="str">
            <v>Shift_O</v>
          </cell>
          <cell r="W1" t="str">
            <v>Shift_P</v>
          </cell>
          <cell r="X1" t="str">
            <v>Shift_Q</v>
          </cell>
          <cell r="Y1" t="str">
            <v>Shift_R</v>
          </cell>
          <cell r="Z1" t="str">
            <v>Shift_S</v>
          </cell>
        </row>
        <row r="2">
          <cell r="A2" t="str">
            <v>Janvier</v>
          </cell>
          <cell r="B2">
            <v>2022</v>
          </cell>
          <cell r="C2" t="str">
            <v>Sat</v>
          </cell>
          <cell r="D2">
            <v>44562</v>
          </cell>
          <cell r="F2" t="str">
            <v>D</v>
          </cell>
          <cell r="G2" t="str">
            <v>M1</v>
          </cell>
          <cell r="H2" t="str">
            <v>M1</v>
          </cell>
          <cell r="I2" t="str">
            <v>M1</v>
          </cell>
          <cell r="J2" t="str">
            <v>M1</v>
          </cell>
          <cell r="K2" t="str">
            <v>M1</v>
          </cell>
          <cell r="L2" t="str">
            <v>M1</v>
          </cell>
          <cell r="M2" t="str">
            <v>O1</v>
          </cell>
          <cell r="N2" t="str">
            <v>M1</v>
          </cell>
          <cell r="O2" t="str">
            <v>M1</v>
          </cell>
          <cell r="P2" t="str">
            <v>M1</v>
          </cell>
          <cell r="Q2" t="str">
            <v>O1</v>
          </cell>
          <cell r="R2" t="str">
            <v>M1</v>
          </cell>
          <cell r="S2" t="str">
            <v>M1</v>
          </cell>
          <cell r="T2" t="str">
            <v>M1</v>
          </cell>
          <cell r="U2" t="str">
            <v>A1</v>
          </cell>
          <cell r="W2" t="str">
            <v>M1</v>
          </cell>
          <cell r="X2" t="str">
            <v>M1</v>
          </cell>
          <cell r="Y2" t="str">
            <v>M1</v>
          </cell>
          <cell r="Z2" t="str">
            <v>M1</v>
          </cell>
        </row>
        <row r="3">
          <cell r="A3" t="str">
            <v>Février</v>
          </cell>
          <cell r="B3">
            <v>2023</v>
          </cell>
          <cell r="C3" t="str">
            <v>Sun</v>
          </cell>
          <cell r="D3">
            <v>44587</v>
          </cell>
          <cell r="F3" t="str">
            <v>A</v>
          </cell>
          <cell r="G3" t="str">
            <v>M2</v>
          </cell>
          <cell r="H3" t="str">
            <v>M2</v>
          </cell>
          <cell r="I3" t="str">
            <v>M2</v>
          </cell>
          <cell r="J3" t="str">
            <v>M2</v>
          </cell>
          <cell r="K3" t="str">
            <v>M2</v>
          </cell>
          <cell r="L3" t="str">
            <v>O1</v>
          </cell>
          <cell r="M3" t="str">
            <v>M1</v>
          </cell>
          <cell r="N3" t="str">
            <v>M2</v>
          </cell>
          <cell r="O3" t="str">
            <v>M2</v>
          </cell>
          <cell r="P3" t="str">
            <v>O1</v>
          </cell>
          <cell r="Q3" t="str">
            <v>A1</v>
          </cell>
          <cell r="R3" t="str">
            <v>M2</v>
          </cell>
          <cell r="S3" t="str">
            <v>M2</v>
          </cell>
          <cell r="T3" t="str">
            <v>M2</v>
          </cell>
          <cell r="U3" t="str">
            <v>A2</v>
          </cell>
          <cell r="W3" t="str">
            <v>M2</v>
          </cell>
          <cell r="X3" t="str">
            <v>M2</v>
          </cell>
          <cell r="Y3" t="str">
            <v>M2</v>
          </cell>
          <cell r="Z3" t="str">
            <v>M2</v>
          </cell>
        </row>
        <row r="4">
          <cell r="A4" t="str">
            <v>Mars</v>
          </cell>
          <cell r="B4">
            <v>2024</v>
          </cell>
          <cell r="F4" t="str">
            <v>O</v>
          </cell>
          <cell r="G4" t="str">
            <v>M3</v>
          </cell>
          <cell r="H4" t="str">
            <v>M3</v>
          </cell>
          <cell r="I4" t="str">
            <v>M3</v>
          </cell>
          <cell r="J4" t="str">
            <v>M3</v>
          </cell>
          <cell r="K4" t="str">
            <v>O1</v>
          </cell>
          <cell r="L4" t="str">
            <v>M2</v>
          </cell>
          <cell r="M4" t="str">
            <v>M2</v>
          </cell>
          <cell r="N4" t="str">
            <v>M3</v>
          </cell>
          <cell r="O4" t="str">
            <v>O1</v>
          </cell>
          <cell r="P4" t="str">
            <v>A1</v>
          </cell>
          <cell r="Q4" t="str">
            <v>A2</v>
          </cell>
          <cell r="R4" t="str">
            <v>M3</v>
          </cell>
          <cell r="S4" t="str">
            <v>O1</v>
          </cell>
          <cell r="T4" t="str">
            <v>M3</v>
          </cell>
          <cell r="U4" t="str">
            <v>O1</v>
          </cell>
          <cell r="W4" t="str">
            <v>M3</v>
          </cell>
          <cell r="X4" t="str">
            <v>M3</v>
          </cell>
          <cell r="Y4" t="str">
            <v>O1</v>
          </cell>
          <cell r="Z4" t="str">
            <v>O1</v>
          </cell>
        </row>
        <row r="5">
          <cell r="A5" t="str">
            <v>Avril</v>
          </cell>
          <cell r="B5">
            <v>2025</v>
          </cell>
          <cell r="G5" t="str">
            <v>M4</v>
          </cell>
          <cell r="H5" t="str">
            <v>M4</v>
          </cell>
          <cell r="I5" t="str">
            <v>M4</v>
          </cell>
          <cell r="J5" t="str">
            <v>O1</v>
          </cell>
          <cell r="K5" t="str">
            <v>M3</v>
          </cell>
          <cell r="L5" t="str">
            <v>M3</v>
          </cell>
          <cell r="M5" t="str">
            <v>M3</v>
          </cell>
          <cell r="N5" t="str">
            <v>O1</v>
          </cell>
          <cell r="O5" t="str">
            <v>A1</v>
          </cell>
          <cell r="P5" t="str">
            <v>A2</v>
          </cell>
          <cell r="Q5" t="str">
            <v>A3</v>
          </cell>
          <cell r="R5" t="str">
            <v>M4</v>
          </cell>
          <cell r="S5" t="str">
            <v>A1</v>
          </cell>
          <cell r="T5" t="str">
            <v>M4</v>
          </cell>
          <cell r="U5" t="str">
            <v>A3</v>
          </cell>
          <cell r="W5" t="str">
            <v>O1</v>
          </cell>
          <cell r="X5" t="str">
            <v>O1</v>
          </cell>
          <cell r="Y5" t="str">
            <v>M3</v>
          </cell>
          <cell r="Z5" t="str">
            <v>M3</v>
          </cell>
        </row>
        <row r="6">
          <cell r="A6" t="str">
            <v>Mai</v>
          </cell>
          <cell r="G6" t="str">
            <v>M5</v>
          </cell>
          <cell r="H6" t="str">
            <v>M5</v>
          </cell>
          <cell r="I6" t="str">
            <v>O1</v>
          </cell>
          <cell r="J6" t="str">
            <v>M4</v>
          </cell>
          <cell r="K6" t="str">
            <v>M4</v>
          </cell>
          <cell r="L6" t="str">
            <v>M4</v>
          </cell>
          <cell r="M6" t="str">
            <v>M4</v>
          </cell>
          <cell r="N6" t="str">
            <v>A1</v>
          </cell>
          <cell r="O6" t="str">
            <v>A2</v>
          </cell>
          <cell r="P6" t="str">
            <v>A3</v>
          </cell>
          <cell r="Q6" t="str">
            <v>A4</v>
          </cell>
          <cell r="R6" t="str">
            <v>M5</v>
          </cell>
          <cell r="S6" t="str">
            <v>M3</v>
          </cell>
          <cell r="T6" t="str">
            <v>M5</v>
          </cell>
          <cell r="U6" t="str">
            <v>A5</v>
          </cell>
          <cell r="W6" t="str">
            <v>A1</v>
          </cell>
          <cell r="X6" t="str">
            <v>M4</v>
          </cell>
          <cell r="Y6" t="str">
            <v>M4</v>
          </cell>
          <cell r="Z6" t="str">
            <v>O2</v>
          </cell>
        </row>
        <row r="7">
          <cell r="A7" t="str">
            <v>Juin</v>
          </cell>
          <cell r="G7" t="str">
            <v>M6</v>
          </cell>
          <cell r="H7" t="str">
            <v>O1</v>
          </cell>
          <cell r="I7" t="str">
            <v>M5</v>
          </cell>
          <cell r="J7" t="str">
            <v>M5</v>
          </cell>
          <cell r="K7" t="str">
            <v>M5</v>
          </cell>
          <cell r="L7" t="str">
            <v>M5</v>
          </cell>
          <cell r="M7" t="str">
            <v>M5</v>
          </cell>
          <cell r="N7" t="str">
            <v>A2</v>
          </cell>
          <cell r="O7" t="str">
            <v>A3</v>
          </cell>
          <cell r="P7" t="str">
            <v>A4</v>
          </cell>
          <cell r="Q7" t="str">
            <v>A5</v>
          </cell>
          <cell r="R7" t="str">
            <v>O1</v>
          </cell>
          <cell r="S7" t="str">
            <v>O2</v>
          </cell>
          <cell r="T7" t="str">
            <v>O1</v>
          </cell>
          <cell r="U7" t="str">
            <v>A6</v>
          </cell>
          <cell r="V7"/>
          <cell r="W7" t="str">
            <v>O2</v>
          </cell>
          <cell r="X7" t="str">
            <v>M5</v>
          </cell>
          <cell r="Y7" t="str">
            <v>O2</v>
          </cell>
          <cell r="Z7" t="str">
            <v>M4</v>
          </cell>
        </row>
        <row r="8">
          <cell r="A8" t="str">
            <v>Juillet</v>
          </cell>
          <cell r="G8" t="str">
            <v>O1</v>
          </cell>
          <cell r="H8" t="str">
            <v>M6</v>
          </cell>
          <cell r="I8" t="str">
            <v>M6</v>
          </cell>
          <cell r="J8" t="str">
            <v>M6</v>
          </cell>
          <cell r="K8" t="str">
            <v>M6</v>
          </cell>
          <cell r="L8" t="str">
            <v>M6</v>
          </cell>
          <cell r="M8" t="str">
            <v>M6</v>
          </cell>
          <cell r="N8" t="str">
            <v>A3</v>
          </cell>
          <cell r="O8" t="str">
            <v>A4</v>
          </cell>
          <cell r="P8" t="str">
            <v>A5</v>
          </cell>
          <cell r="Q8" t="str">
            <v>A6</v>
          </cell>
          <cell r="R8" t="str">
            <v>O2</v>
          </cell>
          <cell r="S8" t="str">
            <v>A2</v>
          </cell>
          <cell r="T8" t="str">
            <v>O2</v>
          </cell>
          <cell r="U8" t="str">
            <v>O2</v>
          </cell>
          <cell r="W8" t="str">
            <v>A3</v>
          </cell>
          <cell r="X8" t="str">
            <v>O2</v>
          </cell>
          <cell r="Y8" t="str">
            <v>M5</v>
          </cell>
          <cell r="Z8" t="str">
            <v>M5</v>
          </cell>
        </row>
        <row r="9">
          <cell r="A9" t="str">
            <v>Août</v>
          </cell>
          <cell r="G9" t="str">
            <v>A1</v>
          </cell>
          <cell r="H9" t="str">
            <v>A1</v>
          </cell>
          <cell r="I9" t="str">
            <v>A1</v>
          </cell>
          <cell r="J9" t="str">
            <v>A1</v>
          </cell>
          <cell r="K9" t="str">
            <v>A1</v>
          </cell>
          <cell r="L9" t="str">
            <v>A1</v>
          </cell>
          <cell r="M9" t="str">
            <v>O2</v>
          </cell>
          <cell r="N9" t="str">
            <v>A4</v>
          </cell>
          <cell r="O9" t="str">
            <v>M1</v>
          </cell>
          <cell r="P9" t="str">
            <v>A6</v>
          </cell>
          <cell r="Q9" t="str">
            <v>O2</v>
          </cell>
          <cell r="R9" t="str">
            <v>A1</v>
          </cell>
          <cell r="S9" t="str">
            <v>M4</v>
          </cell>
          <cell r="T9" t="str">
            <v>A1</v>
          </cell>
          <cell r="U9" t="str">
            <v>M1</v>
          </cell>
          <cell r="W9" t="str">
            <v>M1</v>
          </cell>
          <cell r="X9" t="str">
            <v>A1</v>
          </cell>
          <cell r="Y9" t="str">
            <v>A1</v>
          </cell>
          <cell r="Z9" t="str">
            <v>A1</v>
          </cell>
        </row>
        <row r="10">
          <cell r="A10" t="str">
            <v>Septembre</v>
          </cell>
          <cell r="G10" t="str">
            <v>A2</v>
          </cell>
          <cell r="H10" t="str">
            <v>A2</v>
          </cell>
          <cell r="I10" t="str">
            <v>A2</v>
          </cell>
          <cell r="J10" t="str">
            <v>A2</v>
          </cell>
          <cell r="K10" t="str">
            <v>A2</v>
          </cell>
          <cell r="L10" t="str">
            <v>O2</v>
          </cell>
          <cell r="M10" t="str">
            <v>A1</v>
          </cell>
          <cell r="N10" t="str">
            <v>A5</v>
          </cell>
          <cell r="O10" t="str">
            <v>M2</v>
          </cell>
          <cell r="P10" t="str">
            <v>O2</v>
          </cell>
          <cell r="Q10" t="str">
            <v>M1</v>
          </cell>
          <cell r="R10" t="str">
            <v>A2</v>
          </cell>
          <cell r="S10" t="str">
            <v>A3</v>
          </cell>
          <cell r="T10" t="str">
            <v>A2</v>
          </cell>
          <cell r="U10" t="str">
            <v>M2</v>
          </cell>
          <cell r="W10" t="str">
            <v>M2</v>
          </cell>
          <cell r="X10" t="str">
            <v>A2</v>
          </cell>
          <cell r="Y10" t="str">
            <v>A2</v>
          </cell>
          <cell r="Z10" t="str">
            <v>O1</v>
          </cell>
        </row>
        <row r="11">
          <cell r="A11" t="str">
            <v>Octobre</v>
          </cell>
          <cell r="G11" t="str">
            <v>A3</v>
          </cell>
          <cell r="H11" t="str">
            <v>A3</v>
          </cell>
          <cell r="I11" t="str">
            <v>A3</v>
          </cell>
          <cell r="J11" t="str">
            <v>A3</v>
          </cell>
          <cell r="K11" t="str">
            <v>O2</v>
          </cell>
          <cell r="L11" t="str">
            <v>A2</v>
          </cell>
          <cell r="M11" t="str">
            <v>A2</v>
          </cell>
          <cell r="N11" t="str">
            <v>A6</v>
          </cell>
          <cell r="O11" t="str">
            <v>M3</v>
          </cell>
          <cell r="P11" t="str">
            <v>M1</v>
          </cell>
          <cell r="Q11" t="str">
            <v>M2</v>
          </cell>
          <cell r="R11" t="str">
            <v>A3</v>
          </cell>
          <cell r="S11" t="str">
            <v>O3</v>
          </cell>
          <cell r="T11" t="str">
            <v>A3</v>
          </cell>
          <cell r="U11" t="str">
            <v>M3</v>
          </cell>
          <cell r="W11" t="str">
            <v>A3</v>
          </cell>
          <cell r="X11" t="str">
            <v>A3</v>
          </cell>
          <cell r="Y11" t="str">
            <v>O1</v>
          </cell>
          <cell r="Z11" t="str">
            <v>A2</v>
          </cell>
        </row>
        <row r="12">
          <cell r="A12" t="str">
            <v>Novembre</v>
          </cell>
          <cell r="G12" t="str">
            <v>A4</v>
          </cell>
          <cell r="H12" t="str">
            <v>A4</v>
          </cell>
          <cell r="I12" t="str">
            <v>A4</v>
          </cell>
          <cell r="J12" t="str">
            <v>O2</v>
          </cell>
          <cell r="K12" t="str">
            <v>A3</v>
          </cell>
          <cell r="L12" t="str">
            <v>A3</v>
          </cell>
          <cell r="M12" t="str">
            <v>A3</v>
          </cell>
          <cell r="N12" t="str">
            <v>M4</v>
          </cell>
          <cell r="O12" t="str">
            <v>M4</v>
          </cell>
          <cell r="P12" t="str">
            <v>M2</v>
          </cell>
          <cell r="Q12" t="str">
            <v>M3</v>
          </cell>
          <cell r="R12" t="str">
            <v>O1</v>
          </cell>
          <cell r="S12" t="str">
            <v>A4</v>
          </cell>
          <cell r="T12" t="str">
            <v>A4</v>
          </cell>
          <cell r="U12" t="str">
            <v>O3</v>
          </cell>
          <cell r="W12" t="str">
            <v>A4</v>
          </cell>
          <cell r="X12" t="str">
            <v>O1</v>
          </cell>
          <cell r="Y12" t="str">
            <v>A3</v>
          </cell>
          <cell r="Z12" t="str">
            <v>A3</v>
          </cell>
        </row>
        <row r="13">
          <cell r="A13" t="str">
            <v>Décembre</v>
          </cell>
          <cell r="G13" t="str">
            <v>A5</v>
          </cell>
          <cell r="H13" t="str">
            <v>A5</v>
          </cell>
          <cell r="I13" t="str">
            <v>O2</v>
          </cell>
          <cell r="J13" t="str">
            <v>A4</v>
          </cell>
          <cell r="K13" t="str">
            <v>A4</v>
          </cell>
          <cell r="L13" t="str">
            <v>A4</v>
          </cell>
          <cell r="M13" t="str">
            <v>A4</v>
          </cell>
          <cell r="N13" t="str">
            <v>M5</v>
          </cell>
          <cell r="O13" t="str">
            <v>O2</v>
          </cell>
          <cell r="P13" t="str">
            <v>M3</v>
          </cell>
          <cell r="Q13" t="str">
            <v>M4</v>
          </cell>
          <cell r="R13" t="str">
            <v>M6</v>
          </cell>
          <cell r="S13" t="str">
            <v>A5</v>
          </cell>
          <cell r="T13" t="str">
            <v>A5</v>
          </cell>
          <cell r="U13" t="str">
            <v>M4</v>
          </cell>
          <cell r="W13" t="str">
            <v>A5</v>
          </cell>
          <cell r="X13" t="str">
            <v>A4</v>
          </cell>
          <cell r="Y13" t="str">
            <v>A4</v>
          </cell>
          <cell r="Z13" t="str">
            <v>O2</v>
          </cell>
        </row>
        <row r="14">
          <cell r="G14" t="str">
            <v>A6</v>
          </cell>
          <cell r="H14" t="str">
            <v>O2</v>
          </cell>
          <cell r="I14" t="str">
            <v>A5</v>
          </cell>
          <cell r="J14" t="str">
            <v>A5</v>
          </cell>
          <cell r="K14" t="str">
            <v>A5</v>
          </cell>
          <cell r="L14" t="str">
            <v>A5</v>
          </cell>
          <cell r="M14" t="str">
            <v>A5</v>
          </cell>
          <cell r="N14" t="str">
            <v>M6</v>
          </cell>
          <cell r="O14" t="str">
            <v>A1</v>
          </cell>
          <cell r="P14" t="str">
            <v>M4</v>
          </cell>
          <cell r="Q14" t="str">
            <v>M5</v>
          </cell>
          <cell r="R14" t="str">
            <v>M7</v>
          </cell>
          <cell r="S14" t="str">
            <v>O4</v>
          </cell>
          <cell r="T14" t="str">
            <v>O3</v>
          </cell>
          <cell r="U14" t="str">
            <v>M6</v>
          </cell>
          <cell r="W14" t="str">
            <v>O1</v>
          </cell>
          <cell r="X14" t="str">
            <v>A5</v>
          </cell>
          <cell r="Y14" t="str">
            <v>O2</v>
          </cell>
          <cell r="Z14" t="str">
            <v>A4</v>
          </cell>
        </row>
        <row r="15">
          <cell r="G15" t="str">
            <v>O2</v>
          </cell>
          <cell r="H15" t="str">
            <v>A6</v>
          </cell>
          <cell r="I15" t="str">
            <v>A6</v>
          </cell>
          <cell r="J15" t="str">
            <v>A6</v>
          </cell>
          <cell r="K15" t="str">
            <v>A6</v>
          </cell>
          <cell r="L15" t="str">
            <v>A6</v>
          </cell>
          <cell r="M15" t="str">
            <v>A6</v>
          </cell>
          <cell r="N15" t="str">
            <v>O2</v>
          </cell>
          <cell r="O15" t="str">
            <v>A2</v>
          </cell>
          <cell r="P15" t="str">
            <v>M5</v>
          </cell>
          <cell r="Q15" t="str">
            <v>M6</v>
          </cell>
          <cell r="R15" t="str">
            <v>M8</v>
          </cell>
          <cell r="S15" t="str">
            <v>M5</v>
          </cell>
          <cell r="T15" t="str">
            <v>O4</v>
          </cell>
          <cell r="U15" t="str">
            <v>O4</v>
          </cell>
          <cell r="W15" t="str">
            <v>O2</v>
          </cell>
          <cell r="X15" t="str">
            <v>O2</v>
          </cell>
          <cell r="Y15" t="str">
            <v>A5</v>
          </cell>
          <cell r="Z15" t="str">
            <v>A5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évisions"/>
      <sheetName val="Offday"/>
      <sheetName val="Planning"/>
      <sheetName val="Feuil1"/>
    </sheetNames>
    <definedNames>
      <definedName name="elargir_lignecolone"/>
      <definedName name="ereduire_lignecolone"/>
    </definedNames>
    <sheetDataSet>
      <sheetData sheetId="0"/>
      <sheetData sheetId="1">
        <row r="2">
          <cell r="A2" t="str">
            <v>Id Employés</v>
          </cell>
          <cell r="B2" t="str">
            <v>Nom des Employés</v>
          </cell>
          <cell r="D2" t="str">
            <v>A</v>
          </cell>
          <cell r="E2" t="str">
            <v>Shift Types</v>
          </cell>
          <cell r="F2" t="str">
            <v>Shift Starts</v>
          </cell>
          <cell r="G2">
            <v>44865</v>
          </cell>
          <cell r="H2">
            <v>44866</v>
          </cell>
          <cell r="I2">
            <v>44867</v>
          </cell>
          <cell r="J2">
            <v>44868</v>
          </cell>
          <cell r="K2">
            <v>44869</v>
          </cell>
          <cell r="L2">
            <v>44870</v>
          </cell>
          <cell r="M2">
            <v>44871</v>
          </cell>
          <cell r="N2">
            <v>44872</v>
          </cell>
          <cell r="O2">
            <v>44873</v>
          </cell>
          <cell r="P2">
            <v>44874</v>
          </cell>
          <cell r="Q2">
            <v>44875</v>
          </cell>
          <cell r="R2">
            <v>44876</v>
          </cell>
          <cell r="S2">
            <v>44877</v>
          </cell>
          <cell r="T2">
            <v>44878</v>
          </cell>
          <cell r="U2">
            <v>44879</v>
          </cell>
          <cell r="V2">
            <v>44880</v>
          </cell>
          <cell r="W2">
            <v>44881</v>
          </cell>
          <cell r="X2">
            <v>44882</v>
          </cell>
          <cell r="Y2">
            <v>44883</v>
          </cell>
          <cell r="Z2">
            <v>44884</v>
          </cell>
          <cell r="AA2">
            <v>44885</v>
          </cell>
          <cell r="AB2">
            <v>44886</v>
          </cell>
          <cell r="AC2">
            <v>44887</v>
          </cell>
          <cell r="AD2">
            <v>44888</v>
          </cell>
          <cell r="AE2">
            <v>44889</v>
          </cell>
          <cell r="AF2">
            <v>44890</v>
          </cell>
          <cell r="AG2">
            <v>44891</v>
          </cell>
          <cell r="AH2">
            <v>44892</v>
          </cell>
          <cell r="AI2">
            <v>44893</v>
          </cell>
          <cell r="AJ2">
            <v>44894</v>
          </cell>
          <cell r="AK2">
            <v>44895</v>
          </cell>
          <cell r="AL2" t="str">
            <v>Total Shift Jour</v>
          </cell>
          <cell r="AM2" t="str">
            <v>Total Shift Soir</v>
          </cell>
          <cell r="AN2" t="str">
            <v>Total Jours OFF</v>
          </cell>
          <cell r="AO2" t="str">
            <v>Types de Shift</v>
          </cell>
          <cell r="AV2" t="str">
            <v>Janvier</v>
          </cell>
          <cell r="AW2">
            <v>2022</v>
          </cell>
        </row>
        <row r="3">
          <cell r="A3">
            <v>1</v>
          </cell>
          <cell r="B3" t="str">
            <v>ZANOU Steven Renaud</v>
          </cell>
          <cell r="C3">
            <v>0.29166666666666669</v>
          </cell>
          <cell r="D3">
            <v>0.29166666666666669</v>
          </cell>
          <cell r="E3">
            <v>0.5</v>
          </cell>
          <cell r="F3">
            <v>0.375</v>
          </cell>
          <cell r="K3" t="str">
            <v>O</v>
          </cell>
          <cell r="M3" t="str">
            <v>O</v>
          </cell>
          <cell r="Q3" t="str">
            <v>O</v>
          </cell>
          <cell r="S3" t="str">
            <v>O</v>
          </cell>
          <cell r="AV3" t="str">
            <v>Février</v>
          </cell>
          <cell r="AW3">
            <v>2023</v>
          </cell>
        </row>
        <row r="4">
          <cell r="A4">
            <v>2</v>
          </cell>
          <cell r="B4" t="str">
            <v>YAWO Komi Etsè A</v>
          </cell>
          <cell r="C4">
            <v>0.29166666666666669</v>
          </cell>
          <cell r="D4">
            <v>0.29166666666666669</v>
          </cell>
          <cell r="E4">
            <v>0.5</v>
          </cell>
          <cell r="F4">
            <v>0.375</v>
          </cell>
          <cell r="J4" t="str">
            <v>O</v>
          </cell>
          <cell r="M4" t="str">
            <v>O</v>
          </cell>
          <cell r="N4" t="str">
            <v>C</v>
          </cell>
          <cell r="O4" t="str">
            <v>C</v>
          </cell>
          <cell r="P4" t="str">
            <v>C</v>
          </cell>
          <cell r="Q4" t="str">
            <v>C</v>
          </cell>
          <cell r="R4" t="str">
            <v>C</v>
          </cell>
          <cell r="S4" t="str">
            <v>C</v>
          </cell>
          <cell r="T4" t="str">
            <v>C</v>
          </cell>
          <cell r="AV4" t="str">
            <v>Mars</v>
          </cell>
          <cell r="AW4">
            <v>2024</v>
          </cell>
        </row>
        <row r="5">
          <cell r="A5">
            <v>3</v>
          </cell>
          <cell r="B5" t="str">
            <v>TIGOE Ahlonkoba Nadège</v>
          </cell>
          <cell r="C5">
            <v>0.29166666666666669</v>
          </cell>
          <cell r="D5">
            <v>0.29166666666666669</v>
          </cell>
          <cell r="E5">
            <v>0.375</v>
          </cell>
          <cell r="F5">
            <v>0.5</v>
          </cell>
          <cell r="G5" t="str">
            <v>O</v>
          </cell>
          <cell r="M5" t="str">
            <v>O</v>
          </cell>
          <cell r="P5" t="str">
            <v>O</v>
          </cell>
          <cell r="S5" t="str">
            <v>O</v>
          </cell>
          <cell r="AV5" t="str">
            <v>Avril</v>
          </cell>
          <cell r="AW5">
            <v>2025</v>
          </cell>
        </row>
        <row r="6">
          <cell r="A6">
            <v>4</v>
          </cell>
          <cell r="B6" t="str">
            <v>TETEVI Kokovi Georgette</v>
          </cell>
          <cell r="C6">
            <v>0.29166666666666669</v>
          </cell>
          <cell r="D6">
            <v>0.29166666666666669</v>
          </cell>
          <cell r="E6">
            <v>0.375</v>
          </cell>
          <cell r="F6">
            <v>0.5</v>
          </cell>
          <cell r="G6" t="str">
            <v>C</v>
          </cell>
          <cell r="H6" t="str">
            <v>C</v>
          </cell>
          <cell r="I6" t="str">
            <v>C</v>
          </cell>
          <cell r="J6" t="str">
            <v>C</v>
          </cell>
          <cell r="K6" t="str">
            <v>C</v>
          </cell>
          <cell r="L6" t="str">
            <v>C</v>
          </cell>
          <cell r="M6" t="str">
            <v>C</v>
          </cell>
          <cell r="T6" t="str">
            <v>O</v>
          </cell>
          <cell r="AV6" t="str">
            <v>Mai</v>
          </cell>
          <cell r="AW6">
            <v>2026</v>
          </cell>
        </row>
        <row r="7">
          <cell r="A7">
            <v>5</v>
          </cell>
          <cell r="B7" t="str">
            <v>TEBIE Pélaro</v>
          </cell>
          <cell r="C7">
            <v>0.29166666666666669</v>
          </cell>
          <cell r="D7">
            <v>0.375</v>
          </cell>
          <cell r="E7">
            <v>0.29166666666666669</v>
          </cell>
          <cell r="F7">
            <v>0.5</v>
          </cell>
          <cell r="J7" t="str">
            <v>O</v>
          </cell>
          <cell r="M7" t="str">
            <v>O</v>
          </cell>
          <cell r="P7" t="str">
            <v>O</v>
          </cell>
          <cell r="S7" t="str">
            <v>O</v>
          </cell>
          <cell r="AV7" t="str">
            <v>Juin</v>
          </cell>
          <cell r="AW7">
            <v>2027</v>
          </cell>
        </row>
        <row r="8">
          <cell r="A8">
            <v>6</v>
          </cell>
          <cell r="B8" t="str">
            <v>TCHIKIRI SAMTOU SEBASTIEN</v>
          </cell>
          <cell r="C8">
            <v>0.29166666666666669</v>
          </cell>
          <cell r="D8">
            <v>0.375</v>
          </cell>
          <cell r="E8">
            <v>0.29166666666666669</v>
          </cell>
          <cell r="F8">
            <v>0.5</v>
          </cell>
          <cell r="H8" t="str">
            <v>O</v>
          </cell>
          <cell r="L8" t="str">
            <v>O</v>
          </cell>
          <cell r="P8" t="str">
            <v>O</v>
          </cell>
          <cell r="T8" t="str">
            <v>O</v>
          </cell>
          <cell r="AV8" t="str">
            <v>Juillet</v>
          </cell>
          <cell r="AW8">
            <v>2028</v>
          </cell>
        </row>
        <row r="9">
          <cell r="A9">
            <v>7</v>
          </cell>
          <cell r="B9" t="str">
            <v>NYASSOGBO Stéphane Hénoc</v>
          </cell>
          <cell r="C9">
            <v>0.29166666666666669</v>
          </cell>
          <cell r="D9">
            <v>0.5</v>
          </cell>
          <cell r="E9">
            <v>0.29166666666666669</v>
          </cell>
          <cell r="F9">
            <v>0.375</v>
          </cell>
          <cell r="G9" t="str">
            <v>O</v>
          </cell>
          <cell r="M9" t="str">
            <v>O</v>
          </cell>
          <cell r="R9" t="str">
            <v>O</v>
          </cell>
          <cell r="S9" t="str">
            <v>O</v>
          </cell>
          <cell r="AV9" t="str">
            <v>Août</v>
          </cell>
        </row>
        <row r="10">
          <cell r="A10">
            <v>8</v>
          </cell>
          <cell r="B10" t="str">
            <v>BOKODJIN Koami Richard</v>
          </cell>
          <cell r="C10">
            <v>0.29166666666666669</v>
          </cell>
          <cell r="D10">
            <v>0.5</v>
          </cell>
          <cell r="E10">
            <v>0.375</v>
          </cell>
          <cell r="F10">
            <v>0.5</v>
          </cell>
          <cell r="H10" t="str">
            <v>O</v>
          </cell>
          <cell r="L10" t="str">
            <v>O</v>
          </cell>
          <cell r="N10" t="str">
            <v>O</v>
          </cell>
          <cell r="T10" t="str">
            <v>O</v>
          </cell>
          <cell r="AV10" t="str">
            <v>Septembre</v>
          </cell>
        </row>
        <row r="11">
          <cell r="A11">
            <v>9</v>
          </cell>
          <cell r="B11" t="str">
            <v>BAWA Zaïdatou</v>
          </cell>
          <cell r="C11">
            <v>0.375</v>
          </cell>
          <cell r="D11">
            <v>0.5</v>
          </cell>
          <cell r="E11">
            <v>0.29166666666666669</v>
          </cell>
          <cell r="F11">
            <v>0.29166666666666669</v>
          </cell>
          <cell r="I11" t="str">
            <v>O</v>
          </cell>
          <cell r="M11" t="str">
            <v>O</v>
          </cell>
          <cell r="O11" t="str">
            <v>O</v>
          </cell>
          <cell r="Q11" t="str">
            <v>O</v>
          </cell>
          <cell r="AV11" t="str">
            <v>Octobre</v>
          </cell>
        </row>
        <row r="12">
          <cell r="A12">
            <v>10</v>
          </cell>
          <cell r="B12" t="str">
            <v>ATUTONU Ami Beatrice</v>
          </cell>
          <cell r="C12">
            <v>0.375</v>
          </cell>
          <cell r="D12">
            <v>0.5</v>
          </cell>
          <cell r="E12">
            <v>0.29166666666666669</v>
          </cell>
          <cell r="F12">
            <v>0.29166666666666669</v>
          </cell>
          <cell r="J12" t="str">
            <v>O</v>
          </cell>
          <cell r="L12" t="str">
            <v>O</v>
          </cell>
          <cell r="R12" t="str">
            <v>O</v>
          </cell>
          <cell r="T12" t="str">
            <v>O</v>
          </cell>
          <cell r="AV12" t="str">
            <v>Novembre</v>
          </cell>
        </row>
        <row r="13">
          <cell r="A13">
            <v>11</v>
          </cell>
          <cell r="B13" t="str">
            <v>ALAWI Eyana</v>
          </cell>
          <cell r="C13">
            <v>0.5</v>
          </cell>
          <cell r="D13">
            <v>0.5</v>
          </cell>
          <cell r="E13">
            <v>0.29166666666666669</v>
          </cell>
          <cell r="F13">
            <v>0.375</v>
          </cell>
          <cell r="K13" t="str">
            <v>O</v>
          </cell>
          <cell r="L13" t="str">
            <v>O</v>
          </cell>
          <cell r="N13" t="str">
            <v>O</v>
          </cell>
          <cell r="T13" t="str">
            <v>O</v>
          </cell>
          <cell r="AV13" t="str">
            <v>Décembre</v>
          </cell>
        </row>
        <row r="14">
          <cell r="A14">
            <v>12</v>
          </cell>
          <cell r="B14" t="str">
            <v>AGBEVE Ablavi Claire</v>
          </cell>
          <cell r="C14">
            <v>0.5</v>
          </cell>
          <cell r="D14">
            <v>0.29166666666666669</v>
          </cell>
          <cell r="E14">
            <v>0.5</v>
          </cell>
          <cell r="F14">
            <v>0.375</v>
          </cell>
          <cell r="I14" t="str">
            <v>O</v>
          </cell>
          <cell r="K14" t="str">
            <v>O</v>
          </cell>
          <cell r="R14" t="str">
            <v>O</v>
          </cell>
          <cell r="T14" t="str">
            <v>O</v>
          </cell>
        </row>
        <row r="15">
          <cell r="A15">
            <v>13</v>
          </cell>
          <cell r="B15" t="str">
            <v>AFANNOU Yaovi Rene</v>
          </cell>
          <cell r="C15">
            <v>0.5</v>
          </cell>
          <cell r="D15">
            <v>0.29166666666666669</v>
          </cell>
          <cell r="E15">
            <v>0.5</v>
          </cell>
          <cell r="F15">
            <v>0.375</v>
          </cell>
          <cell r="I15" t="str">
            <v>O</v>
          </cell>
          <cell r="K15" t="str">
            <v>O</v>
          </cell>
          <cell r="R15" t="str">
            <v>O</v>
          </cell>
          <cell r="T15" t="str">
            <v>O</v>
          </cell>
        </row>
        <row r="16">
          <cell r="A16">
            <v>14</v>
          </cell>
          <cell r="B16" t="str">
            <v>TENGUE Komlanvi Olivier</v>
          </cell>
          <cell r="C16">
            <v>0.5</v>
          </cell>
          <cell r="D16">
            <v>0.29166666666666669</v>
          </cell>
          <cell r="E16">
            <v>0.375</v>
          </cell>
          <cell r="F16">
            <v>0.29166666666666669</v>
          </cell>
          <cell r="G16" t="str">
            <v>C</v>
          </cell>
          <cell r="H16" t="str">
            <v>C</v>
          </cell>
          <cell r="I16" t="str">
            <v>C</v>
          </cell>
          <cell r="J16" t="str">
            <v>C</v>
          </cell>
          <cell r="K16" t="str">
            <v>C</v>
          </cell>
          <cell r="L16" t="str">
            <v>C</v>
          </cell>
          <cell r="M16" t="str">
            <v>C</v>
          </cell>
          <cell r="O16" t="str">
            <v>O</v>
          </cell>
          <cell r="Q16" t="str">
            <v>O</v>
          </cell>
        </row>
        <row r="17">
          <cell r="A17">
            <v>15</v>
          </cell>
          <cell r="B17" t="str">
            <v>AKPAKI A Natacha M L</v>
          </cell>
          <cell r="C17">
            <v>0.5</v>
          </cell>
          <cell r="D17">
            <v>0.29166666666666669</v>
          </cell>
          <cell r="E17">
            <v>0.5</v>
          </cell>
          <cell r="F17">
            <v>0.29166666666666669</v>
          </cell>
          <cell r="G17" t="str">
            <v>BO</v>
          </cell>
          <cell r="H17" t="str">
            <v>BO</v>
          </cell>
          <cell r="I17" t="str">
            <v>BO</v>
          </cell>
          <cell r="J17" t="str">
            <v>BO</v>
          </cell>
          <cell r="K17" t="str">
            <v>BO</v>
          </cell>
          <cell r="L17" t="str">
            <v>BO</v>
          </cell>
          <cell r="M17" t="str">
            <v>BO</v>
          </cell>
          <cell r="S17" t="str">
            <v>O</v>
          </cell>
          <cell r="T17" t="str">
            <v>O</v>
          </cell>
        </row>
        <row r="18">
          <cell r="A18">
            <v>16</v>
          </cell>
          <cell r="C18">
            <v>0.58333333333333337</v>
          </cell>
          <cell r="D18">
            <v>0.29166666666666669</v>
          </cell>
          <cell r="E18">
            <v>0.29166666666666669</v>
          </cell>
          <cell r="F18">
            <v>0.58333333333333337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2:S73"/>
  <sheetViews>
    <sheetView showGridLines="0" showRowColHeaders="0" zoomScale="106" zoomScaleNormal="106" workbookViewId="0">
      <pane xSplit="11" topLeftCell="O1" activePane="topRight" state="frozen"/>
      <selection activeCell="A40" sqref="A40"/>
      <selection pane="topRight" activeCell="E53" sqref="E53:R54"/>
    </sheetView>
  </sheetViews>
  <sheetFormatPr baseColWidth="10" defaultRowHeight="15" x14ac:dyDescent="0.25"/>
  <cols>
    <col min="1" max="1" width="11.42578125" style="1" hidden="1" customWidth="1"/>
    <col min="2" max="2" width="11.42578125" style="1"/>
    <col min="3" max="3" width="16.140625" style="1" customWidth="1"/>
    <col min="4" max="4" width="13.7109375" style="1" customWidth="1"/>
    <col min="5" max="5" width="16.140625" style="1" customWidth="1"/>
    <col min="6" max="6" width="17.7109375" style="1" customWidth="1"/>
    <col min="7" max="7" width="17.28515625" style="1" customWidth="1"/>
    <col min="8" max="8" width="18.7109375" style="1" customWidth="1"/>
    <col min="9" max="9" width="17" style="1" customWidth="1"/>
    <col min="10" max="10" width="14.140625" style="1" customWidth="1"/>
    <col min="11" max="11" width="16" style="1" customWidth="1"/>
    <col min="12" max="12" width="14.140625" style="1" customWidth="1"/>
    <col min="13" max="13" width="14.7109375" style="1" customWidth="1"/>
    <col min="14" max="14" width="14.5703125" style="1" customWidth="1"/>
    <col min="15" max="15" width="15" style="1" customWidth="1"/>
    <col min="16" max="16" width="14.140625" style="1" customWidth="1"/>
    <col min="17" max="17" width="14.7109375" style="1" customWidth="1"/>
    <col min="18" max="18" width="14.140625" style="1" customWidth="1"/>
    <col min="19" max="19" width="14.42578125" style="1" customWidth="1"/>
    <col min="20" max="56" width="11.42578125" style="1" customWidth="1"/>
    <col min="57" max="16384" width="11.42578125" style="1"/>
  </cols>
  <sheetData>
    <row r="2" spans="2:18" ht="19.5" thickBot="1" x14ac:dyDescent="0.35">
      <c r="D2" s="11" t="s">
        <v>9</v>
      </c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</row>
    <row r="3" spans="2:18" ht="21" x14ac:dyDescent="0.25">
      <c r="D3" s="13"/>
      <c r="E3" s="14" t="s">
        <v>26</v>
      </c>
      <c r="F3" s="15" t="s">
        <v>0</v>
      </c>
      <c r="G3" s="16">
        <v>44865</v>
      </c>
      <c r="H3" s="17"/>
      <c r="I3" s="17"/>
      <c r="J3" s="18" t="s">
        <v>40</v>
      </c>
      <c r="K3" s="19"/>
      <c r="L3" s="14" t="s">
        <v>26</v>
      </c>
      <c r="M3" s="15" t="s">
        <v>1</v>
      </c>
      <c r="N3" s="16">
        <v>44774</v>
      </c>
      <c r="O3" s="17"/>
      <c r="P3" s="17"/>
      <c r="Q3" s="18" t="s">
        <v>40</v>
      </c>
      <c r="R3" s="19"/>
    </row>
    <row r="4" spans="2:18" ht="18.75" x14ac:dyDescent="0.3">
      <c r="D4" s="20"/>
      <c r="E4" s="21" t="s">
        <v>27</v>
      </c>
      <c r="F4" s="22">
        <v>10619.179957769185</v>
      </c>
      <c r="G4" s="23"/>
      <c r="H4" s="23"/>
      <c r="I4" s="23"/>
      <c r="J4" s="23"/>
      <c r="K4" s="24"/>
      <c r="L4" s="21" t="s">
        <v>27</v>
      </c>
      <c r="M4" s="22">
        <v>11085.027000699094</v>
      </c>
      <c r="N4" s="23"/>
      <c r="O4" s="23"/>
      <c r="P4" s="23"/>
      <c r="Q4" s="23"/>
      <c r="R4" s="24"/>
    </row>
    <row r="5" spans="2:18" x14ac:dyDescent="0.25">
      <c r="D5" s="20"/>
      <c r="E5" s="23"/>
      <c r="F5" s="23"/>
      <c r="G5" s="23"/>
      <c r="H5" s="23"/>
      <c r="I5" s="23"/>
      <c r="J5" s="23"/>
      <c r="K5" s="24"/>
      <c r="L5" s="23"/>
      <c r="M5" s="23"/>
      <c r="N5" s="23"/>
      <c r="O5" s="23"/>
      <c r="P5" s="23"/>
      <c r="Q5" s="23"/>
      <c r="R5" s="24"/>
    </row>
    <row r="6" spans="2:18" ht="15.75" x14ac:dyDescent="0.25">
      <c r="C6" s="9"/>
      <c r="D6" s="20"/>
      <c r="E6" s="25">
        <v>1755.863270037536</v>
      </c>
      <c r="F6" s="25">
        <v>1707.9814646800144</v>
      </c>
      <c r="G6" s="25">
        <v>1658.7248311651006</v>
      </c>
      <c r="H6" s="25">
        <v>1652.0098476294256</v>
      </c>
      <c r="I6" s="25">
        <v>1702.7365123520983</v>
      </c>
      <c r="J6" s="25">
        <v>1467.5081387445621</v>
      </c>
      <c r="K6" s="26">
        <v>674.35589316044809</v>
      </c>
      <c r="L6" s="25">
        <v>1832.8902829885492</v>
      </c>
      <c r="M6" s="25">
        <v>1782.907976695489</v>
      </c>
      <c r="N6" s="25">
        <v>1731.4905306546684</v>
      </c>
      <c r="O6" s="25">
        <v>1724.480971150241</v>
      </c>
      <c r="P6" s="25">
        <v>1777.4329364001419</v>
      </c>
      <c r="Q6" s="25">
        <v>1531.8854569205828</v>
      </c>
      <c r="R6" s="26">
        <v>703.93884588942183</v>
      </c>
    </row>
    <row r="7" spans="2:18" x14ac:dyDescent="0.25">
      <c r="D7" s="20"/>
      <c r="E7" s="27">
        <f>+G3</f>
        <v>44865</v>
      </c>
      <c r="F7" s="27">
        <f>+E7+1</f>
        <v>44866</v>
      </c>
      <c r="G7" s="27">
        <f t="shared" ref="G7:R7" si="0">+F7+1</f>
        <v>44867</v>
      </c>
      <c r="H7" s="27">
        <f t="shared" si="0"/>
        <v>44868</v>
      </c>
      <c r="I7" s="27">
        <f t="shared" si="0"/>
        <v>44869</v>
      </c>
      <c r="J7" s="27">
        <f t="shared" si="0"/>
        <v>44870</v>
      </c>
      <c r="K7" s="27">
        <f t="shared" si="0"/>
        <v>44871</v>
      </c>
      <c r="L7" s="27">
        <f t="shared" si="0"/>
        <v>44872</v>
      </c>
      <c r="M7" s="27">
        <f t="shared" si="0"/>
        <v>44873</v>
      </c>
      <c r="N7" s="27">
        <f t="shared" si="0"/>
        <v>44874</v>
      </c>
      <c r="O7" s="27">
        <f t="shared" si="0"/>
        <v>44875</v>
      </c>
      <c r="P7" s="27">
        <f t="shared" si="0"/>
        <v>44876</v>
      </c>
      <c r="Q7" s="27">
        <f t="shared" si="0"/>
        <v>44877</v>
      </c>
      <c r="R7" s="27">
        <f t="shared" si="0"/>
        <v>44878</v>
      </c>
    </row>
    <row r="8" spans="2:18" x14ac:dyDescent="0.25">
      <c r="D8" s="20"/>
      <c r="E8" s="28"/>
      <c r="F8" s="28"/>
      <c r="G8" s="28"/>
      <c r="H8" s="28"/>
      <c r="I8" s="28"/>
      <c r="J8" s="28"/>
      <c r="K8" s="29"/>
      <c r="L8" s="28"/>
      <c r="M8" s="28"/>
      <c r="N8" s="28"/>
      <c r="O8" s="28"/>
      <c r="P8" s="28"/>
      <c r="Q8" s="28"/>
      <c r="R8" s="29"/>
    </row>
    <row r="9" spans="2:18" ht="15.75" thickBot="1" x14ac:dyDescent="0.3">
      <c r="D9" s="30" t="s">
        <v>10</v>
      </c>
      <c r="E9" s="31" t="s">
        <v>2</v>
      </c>
      <c r="F9" s="31" t="s">
        <v>3</v>
      </c>
      <c r="G9" s="31" t="s">
        <v>4</v>
      </c>
      <c r="H9" s="31" t="s">
        <v>5</v>
      </c>
      <c r="I9" s="31" t="s">
        <v>6</v>
      </c>
      <c r="J9" s="31" t="s">
        <v>7</v>
      </c>
      <c r="K9" s="32" t="s">
        <v>8</v>
      </c>
      <c r="L9" s="31" t="s">
        <v>2</v>
      </c>
      <c r="M9" s="31" t="s">
        <v>3</v>
      </c>
      <c r="N9" s="31" t="s">
        <v>4</v>
      </c>
      <c r="O9" s="31" t="s">
        <v>5</v>
      </c>
      <c r="P9" s="31" t="s">
        <v>6</v>
      </c>
      <c r="Q9" s="31" t="s">
        <v>7</v>
      </c>
      <c r="R9" s="32" t="s">
        <v>8</v>
      </c>
    </row>
    <row r="10" spans="2:18" x14ac:dyDescent="0.25">
      <c r="D10" s="6" t="s">
        <v>11</v>
      </c>
      <c r="E10" s="3">
        <v>72.335465543980817</v>
      </c>
      <c r="F10" s="3">
        <v>80.21986451746136</v>
      </c>
      <c r="G10" s="3">
        <v>73.62418077370441</v>
      </c>
      <c r="H10" s="3">
        <v>84.394248383063854</v>
      </c>
      <c r="I10" s="3">
        <v>93.638053211826232</v>
      </c>
      <c r="J10" s="3">
        <v>76.851962928241278</v>
      </c>
      <c r="K10" s="3">
        <v>46.567488091341168</v>
      </c>
      <c r="L10" s="3">
        <v>75.508710828139343</v>
      </c>
      <c r="M10" s="3">
        <v>83.738986221614852</v>
      </c>
      <c r="N10" s="3">
        <v>76.853960006937442</v>
      </c>
      <c r="O10" s="3">
        <v>88.09649386773323</v>
      </c>
      <c r="P10" s="3">
        <v>97.745810154256503</v>
      </c>
      <c r="Q10" s="3">
        <v>80.2233399852133</v>
      </c>
      <c r="R10" s="3">
        <v>48.610331955961215</v>
      </c>
    </row>
    <row r="11" spans="2:18" x14ac:dyDescent="0.25">
      <c r="D11" s="7" t="s">
        <v>12</v>
      </c>
      <c r="E11" s="2">
        <v>112.8603472692562</v>
      </c>
      <c r="F11" s="2">
        <v>123.88721651983279</v>
      </c>
      <c r="G11" s="2">
        <v>116.60015781032827</v>
      </c>
      <c r="H11" s="2">
        <v>110.97072527574129</v>
      </c>
      <c r="I11" s="2">
        <v>131.22660758167154</v>
      </c>
      <c r="J11" s="2">
        <v>100.404051944763</v>
      </c>
      <c r="K11" s="2">
        <v>44.043508181581316</v>
      </c>
      <c r="L11" s="3">
        <v>117.81135659846154</v>
      </c>
      <c r="M11" s="3">
        <v>129.32195759231627</v>
      </c>
      <c r="N11" s="3">
        <v>121.71522685870261</v>
      </c>
      <c r="O11" s="3">
        <v>115.83883980314131</v>
      </c>
      <c r="P11" s="3">
        <v>136.98331641782988</v>
      </c>
      <c r="Q11" s="3">
        <v>104.80862281395039</v>
      </c>
      <c r="R11" s="3">
        <v>45.97562894121095</v>
      </c>
    </row>
    <row r="12" spans="2:18" x14ac:dyDescent="0.25">
      <c r="D12" s="7" t="s">
        <v>13</v>
      </c>
      <c r="E12" s="2">
        <v>145.44848880968613</v>
      </c>
      <c r="F12" s="2">
        <v>140.96689788709998</v>
      </c>
      <c r="G12" s="2">
        <v>122.82469476887584</v>
      </c>
      <c r="H12" s="2">
        <v>140.17438238394993</v>
      </c>
      <c r="I12" s="2">
        <v>146.07767426467836</v>
      </c>
      <c r="J12" s="2">
        <v>119.85725415031355</v>
      </c>
      <c r="K12" s="2">
        <v>44.551094138772584</v>
      </c>
      <c r="L12" s="3">
        <v>151.82908963574562</v>
      </c>
      <c r="M12" s="3">
        <v>147.15089823297069</v>
      </c>
      <c r="N12" s="3">
        <v>128.21282465125796</v>
      </c>
      <c r="O12" s="3">
        <v>146.32361629728192</v>
      </c>
      <c r="P12" s="3">
        <v>152.48587648602717</v>
      </c>
      <c r="Q12" s="3">
        <v>125.11520699052059</v>
      </c>
      <c r="R12" s="3">
        <v>46.505481911310063</v>
      </c>
    </row>
    <row r="13" spans="2:18" x14ac:dyDescent="0.25">
      <c r="D13" s="7" t="s">
        <v>14</v>
      </c>
      <c r="E13" s="2">
        <v>143.63752037455575</v>
      </c>
      <c r="F13" s="2">
        <v>145.9302216747891</v>
      </c>
      <c r="G13" s="2">
        <v>126.7551016570236</v>
      </c>
      <c r="H13" s="2">
        <v>141.83302765282977</v>
      </c>
      <c r="I13" s="2">
        <v>137.54993213737771</v>
      </c>
      <c r="J13" s="2">
        <v>126.14665438328807</v>
      </c>
      <c r="K13" s="2">
        <v>43.64987148484299</v>
      </c>
      <c r="L13" s="3">
        <v>149.93867680908031</v>
      </c>
      <c r="M13" s="3">
        <v>152.33195537848908</v>
      </c>
      <c r="N13" s="3">
        <v>132.31565242629495</v>
      </c>
      <c r="O13" s="3">
        <v>148.05502377537658</v>
      </c>
      <c r="P13" s="3">
        <v>143.58403546703522</v>
      </c>
      <c r="Q13" s="3">
        <v>131.68051350928982</v>
      </c>
      <c r="R13" s="3">
        <v>45.564724009835537</v>
      </c>
    </row>
    <row r="14" spans="2:18" x14ac:dyDescent="0.25">
      <c r="B14" s="9"/>
      <c r="D14" s="7" t="s">
        <v>15</v>
      </c>
      <c r="E14" s="2">
        <v>156.75594752801459</v>
      </c>
      <c r="F14" s="2">
        <v>140.99839664311475</v>
      </c>
      <c r="G14" s="2">
        <v>127.24165703048277</v>
      </c>
      <c r="H14" s="2">
        <v>141.07006796572449</v>
      </c>
      <c r="I14" s="2">
        <v>138.23026868245242</v>
      </c>
      <c r="J14" s="2">
        <v>126.96425159616803</v>
      </c>
      <c r="K14" s="2">
        <v>57.007804144011864</v>
      </c>
      <c r="L14" s="3">
        <v>163.63258912444743</v>
      </c>
      <c r="M14" s="3">
        <v>147.18377879081984</v>
      </c>
      <c r="N14" s="3">
        <v>132.82355223339675</v>
      </c>
      <c r="O14" s="3">
        <v>147.25859422378778</v>
      </c>
      <c r="P14" s="3">
        <v>144.29421732681223</v>
      </c>
      <c r="Q14" s="3">
        <v>132.53397745062176</v>
      </c>
      <c r="R14" s="3">
        <v>59.508648567971896</v>
      </c>
    </row>
    <row r="15" spans="2:18" x14ac:dyDescent="0.25">
      <c r="B15" s="10"/>
      <c r="D15" s="7" t="s">
        <v>16</v>
      </c>
      <c r="E15" s="2">
        <v>151.66414336615409</v>
      </c>
      <c r="F15" s="2">
        <v>130.45159466761322</v>
      </c>
      <c r="G15" s="2">
        <v>126.12509352135777</v>
      </c>
      <c r="H15" s="2">
        <v>120.33719648012718</v>
      </c>
      <c r="I15" s="2">
        <v>117.95539795731617</v>
      </c>
      <c r="J15" s="2">
        <v>114.82318365475236</v>
      </c>
      <c r="K15" s="2">
        <v>52.313348592074966</v>
      </c>
      <c r="L15" s="3">
        <v>158.31741536894467</v>
      </c>
      <c r="M15" s="3">
        <v>136.17430488281568</v>
      </c>
      <c r="N15" s="3">
        <v>131.65800680560778</v>
      </c>
      <c r="O15" s="3">
        <v>125.6162036499538</v>
      </c>
      <c r="P15" s="3">
        <v>123.12991930025986</v>
      </c>
      <c r="Q15" s="3">
        <v>119.86029958819408</v>
      </c>
      <c r="R15" s="3">
        <v>54.608254492935039</v>
      </c>
    </row>
    <row r="16" spans="2:18" x14ac:dyDescent="0.25">
      <c r="B16" s="10"/>
      <c r="D16" s="7" t="s">
        <v>17</v>
      </c>
      <c r="E16" s="2">
        <v>134.34325026498374</v>
      </c>
      <c r="F16" s="2">
        <v>119.43325855125859</v>
      </c>
      <c r="G16" s="2">
        <v>120.70325115844319</v>
      </c>
      <c r="H16" s="2">
        <v>116.43839214220209</v>
      </c>
      <c r="I16" s="2">
        <v>115.9279563634266</v>
      </c>
      <c r="J16" s="2">
        <v>116.31539356572168</v>
      </c>
      <c r="K16" s="2">
        <v>52.010339338311425</v>
      </c>
      <c r="L16" s="3">
        <v>140.23668140772921</v>
      </c>
      <c r="M16" s="3">
        <v>124.67261135861747</v>
      </c>
      <c r="N16" s="3">
        <v>125.99831658230849</v>
      </c>
      <c r="O16" s="3">
        <v>121.54636478026565</v>
      </c>
      <c r="P16" s="3">
        <v>121.01353697130575</v>
      </c>
      <c r="Q16" s="3">
        <v>121.41797044598042</v>
      </c>
      <c r="R16" s="3">
        <v>54.291952690650099</v>
      </c>
    </row>
    <row r="17" spans="2:18" x14ac:dyDescent="0.25">
      <c r="D17" s="7" t="s">
        <v>18</v>
      </c>
      <c r="E17" s="2">
        <v>129.87756483085838</v>
      </c>
      <c r="F17" s="2">
        <v>125.53922918907449</v>
      </c>
      <c r="G17" s="2">
        <v>130.2601377441346</v>
      </c>
      <c r="H17" s="2">
        <v>129.78387017939863</v>
      </c>
      <c r="I17" s="2">
        <v>136.10049598740679</v>
      </c>
      <c r="J17" s="2">
        <v>112.45737483474981</v>
      </c>
      <c r="K17" s="2">
        <v>48.475588548479948</v>
      </c>
      <c r="L17" s="3">
        <v>135.57509324265706</v>
      </c>
      <c r="M17" s="3">
        <v>131.04644150885855</v>
      </c>
      <c r="N17" s="3">
        <v>135.97444903945754</v>
      </c>
      <c r="O17" s="3">
        <v>135.47728835137704</v>
      </c>
      <c r="P17" s="3">
        <v>142.07101478915678</v>
      </c>
      <c r="Q17" s="3">
        <v>117.39070638490408</v>
      </c>
      <c r="R17" s="3">
        <v>50.602137836598445</v>
      </c>
    </row>
    <row r="18" spans="2:18" x14ac:dyDescent="0.25">
      <c r="D18" s="7" t="s">
        <v>19</v>
      </c>
      <c r="E18" s="2">
        <v>144.15418739262438</v>
      </c>
      <c r="F18" s="2">
        <v>134.73983924360508</v>
      </c>
      <c r="G18" s="2">
        <v>139.51323504156613</v>
      </c>
      <c r="H18" s="2">
        <v>118.30322178099654</v>
      </c>
      <c r="I18" s="2">
        <v>147.69262272367655</v>
      </c>
      <c r="J18" s="2">
        <v>110.79336935924042</v>
      </c>
      <c r="K18" s="2">
        <v>42.836107225926149</v>
      </c>
      <c r="L18" s="3">
        <v>150.47800921218845</v>
      </c>
      <c r="M18" s="3">
        <v>140.65066813303946</v>
      </c>
      <c r="N18" s="3">
        <v>145.63346544091536</v>
      </c>
      <c r="O18" s="3">
        <v>123.49300161851008</v>
      </c>
      <c r="P18" s="3">
        <v>154.17167024260013</v>
      </c>
      <c r="Q18" s="3">
        <v>115.65370355618398</v>
      </c>
      <c r="R18" s="3">
        <v>44.71526116824414</v>
      </c>
    </row>
    <row r="19" spans="2:18" x14ac:dyDescent="0.25">
      <c r="D19" s="7" t="s">
        <v>20</v>
      </c>
      <c r="E19" s="2">
        <v>135.44314094165918</v>
      </c>
      <c r="F19" s="2">
        <v>140.08220469758069</v>
      </c>
      <c r="G19" s="2">
        <v>133.92818309683079</v>
      </c>
      <c r="H19" s="2">
        <v>127.59808648512765</v>
      </c>
      <c r="I19" s="2">
        <v>144.45750424183922</v>
      </c>
      <c r="J19" s="2">
        <v>107.6579959065788</v>
      </c>
      <c r="K19" s="2">
        <v>48.702319525399815</v>
      </c>
      <c r="L19" s="3">
        <v>141.38482259162959</v>
      </c>
      <c r="M19" s="3">
        <v>146.22739491801076</v>
      </c>
      <c r="N19" s="3">
        <v>139.8034058832182</v>
      </c>
      <c r="O19" s="3">
        <v>133.19561769836633</v>
      </c>
      <c r="P19" s="3">
        <v>150.79463210366262</v>
      </c>
      <c r="Q19" s="3">
        <v>112.38078610697914</v>
      </c>
      <c r="R19" s="3">
        <v>50.838815151706264</v>
      </c>
    </row>
    <row r="20" spans="2:18" x14ac:dyDescent="0.25">
      <c r="D20" s="7" t="s">
        <v>21</v>
      </c>
      <c r="E20" s="2">
        <v>125.24173932605909</v>
      </c>
      <c r="F20" s="2">
        <v>128.1907435575597</v>
      </c>
      <c r="G20" s="2">
        <v>135.72781162636682</v>
      </c>
      <c r="H20" s="2">
        <v>132.04239829883102</v>
      </c>
      <c r="I20" s="2">
        <v>118.90117286728638</v>
      </c>
      <c r="J20" s="2">
        <v>97.357610202283908</v>
      </c>
      <c r="K20" s="2">
        <v>48.048775407048197</v>
      </c>
      <c r="L20" s="3">
        <v>130.73590122447931</v>
      </c>
      <c r="M20" s="3">
        <v>133.81427372229575</v>
      </c>
      <c r="N20" s="3">
        <v>141.68198134012437</v>
      </c>
      <c r="O20" s="3">
        <v>137.83489461526088</v>
      </c>
      <c r="P20" s="3">
        <v>124.11718389651837</v>
      </c>
      <c r="Q20" s="3">
        <v>101.62853837186212</v>
      </c>
      <c r="R20" s="3">
        <v>50.156601061080977</v>
      </c>
    </row>
    <row r="21" spans="2:18" x14ac:dyDescent="0.25">
      <c r="B21" s="9"/>
      <c r="D21" s="7" t="s">
        <v>22</v>
      </c>
      <c r="E21" s="2">
        <v>114.88141242314754</v>
      </c>
      <c r="F21" s="2">
        <v>107.32315274992727</v>
      </c>
      <c r="G21" s="2">
        <v>110.12557322464735</v>
      </c>
      <c r="H21" s="2">
        <v>109.17923177475865</v>
      </c>
      <c r="I21" s="2">
        <v>104.91555583850531</v>
      </c>
      <c r="J21" s="2">
        <v>95.019444981595484</v>
      </c>
      <c r="K21" s="2">
        <v>50.040322406217498</v>
      </c>
      <c r="L21" s="3">
        <v>119.92108276283139</v>
      </c>
      <c r="M21" s="3">
        <v>112.03125389759551</v>
      </c>
      <c r="N21" s="3">
        <v>114.95661223535079</v>
      </c>
      <c r="O21" s="3">
        <v>113.96875624594153</v>
      </c>
      <c r="P21" s="3">
        <v>109.51803942378046</v>
      </c>
      <c r="Q21" s="3">
        <v>99.187801449943379</v>
      </c>
      <c r="R21" s="3">
        <v>52.235514154817707</v>
      </c>
    </row>
    <row r="22" spans="2:18" x14ac:dyDescent="0.25">
      <c r="D22" s="7" t="s">
        <v>23</v>
      </c>
      <c r="E22" s="2">
        <v>98.761164700982377</v>
      </c>
      <c r="F22" s="2">
        <v>98.375459892647513</v>
      </c>
      <c r="G22" s="2">
        <v>104.18255019172491</v>
      </c>
      <c r="H22" s="2">
        <v>93.586791209555329</v>
      </c>
      <c r="I22" s="2">
        <v>88.534098704362634</v>
      </c>
      <c r="J22" s="2">
        <v>90.62438708406998</v>
      </c>
      <c r="K22" s="2">
        <v>51.176158222548281</v>
      </c>
      <c r="L22" s="3">
        <v>103.0936646412067</v>
      </c>
      <c r="M22" s="3">
        <v>102.69103955794277</v>
      </c>
      <c r="N22" s="3">
        <v>108.75287795005659</v>
      </c>
      <c r="O22" s="3">
        <v>97.692299367025967</v>
      </c>
      <c r="P22" s="3">
        <v>92.41795303623293</v>
      </c>
      <c r="Q22" s="3">
        <v>94.599939142547214</v>
      </c>
      <c r="R22" s="3">
        <v>53.42117733619888</v>
      </c>
    </row>
    <row r="23" spans="2:18" x14ac:dyDescent="0.25">
      <c r="B23" s="9"/>
      <c r="D23" s="7" t="s">
        <v>24</v>
      </c>
      <c r="E23" s="2">
        <v>89.174345972620287</v>
      </c>
      <c r="F23" s="2">
        <v>89.974130869372487</v>
      </c>
      <c r="G23" s="2">
        <v>90.422896020167173</v>
      </c>
      <c r="H23" s="2">
        <v>84.728564353011279</v>
      </c>
      <c r="I23" s="2">
        <v>80.651044025262948</v>
      </c>
      <c r="J23" s="2">
        <v>70.585781346982685</v>
      </c>
      <c r="K23" s="2">
        <v>44.366975990190667</v>
      </c>
      <c r="L23" s="3">
        <v>93.086286964463184</v>
      </c>
      <c r="M23" s="3">
        <v>93.921157190837235</v>
      </c>
      <c r="N23" s="3">
        <v>94.389608976503823</v>
      </c>
      <c r="O23" s="3">
        <v>88.445475763545332</v>
      </c>
      <c r="P23" s="3">
        <v>84.189080909258976</v>
      </c>
      <c r="Q23" s="3">
        <v>73.682270684592211</v>
      </c>
      <c r="R23" s="3">
        <v>46.313286783582129</v>
      </c>
    </row>
    <row r="24" spans="2:18" x14ac:dyDescent="0.25">
      <c r="D24" s="7" t="s">
        <v>25</v>
      </c>
      <c r="E24" s="2">
        <v>1.284551292953519</v>
      </c>
      <c r="F24" s="2">
        <v>1.8692540190772597</v>
      </c>
      <c r="G24" s="2">
        <v>0.69030749944694325</v>
      </c>
      <c r="H24" s="2">
        <v>1.5696432641078719</v>
      </c>
      <c r="I24" s="2">
        <v>0.87812776500945033</v>
      </c>
      <c r="J24" s="2">
        <v>1.6494228058130156</v>
      </c>
      <c r="K24" s="2">
        <v>0.56619186370122487</v>
      </c>
      <c r="L24" s="3">
        <v>1.3409025765454676</v>
      </c>
      <c r="M24" s="3">
        <v>1.9512553092649174</v>
      </c>
      <c r="N24" s="3">
        <v>0.72059022453575061</v>
      </c>
      <c r="O24" s="3">
        <v>1.6385010926734884</v>
      </c>
      <c r="P24" s="3">
        <v>0.91664987540508569</v>
      </c>
      <c r="Q24" s="3">
        <v>1.7217804398002792</v>
      </c>
      <c r="R24" s="3">
        <v>0.59102982731848308</v>
      </c>
    </row>
    <row r="25" spans="2:18" x14ac:dyDescent="0.25">
      <c r="B25" s="10"/>
    </row>
    <row r="27" spans="2:18" ht="19.5" thickBot="1" x14ac:dyDescent="0.35">
      <c r="D27" s="11" t="s">
        <v>28</v>
      </c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</row>
    <row r="28" spans="2:18" ht="21" x14ac:dyDescent="0.25">
      <c r="D28" s="33"/>
      <c r="E28" s="34" t="s">
        <v>29</v>
      </c>
      <c r="F28" s="35">
        <v>0.95</v>
      </c>
      <c r="G28" s="34" t="s">
        <v>30</v>
      </c>
      <c r="H28" s="36">
        <v>5</v>
      </c>
      <c r="I28" s="17"/>
      <c r="J28" s="18" t="s">
        <v>40</v>
      </c>
      <c r="K28" s="19"/>
      <c r="L28" s="34" t="s">
        <v>29</v>
      </c>
      <c r="M28" s="35">
        <v>0.95</v>
      </c>
      <c r="N28" s="34" t="s">
        <v>30</v>
      </c>
      <c r="O28" s="36">
        <v>5</v>
      </c>
      <c r="P28" s="17"/>
      <c r="Q28" s="18" t="s">
        <v>40</v>
      </c>
      <c r="R28" s="19"/>
    </row>
    <row r="29" spans="2:18" x14ac:dyDescent="0.25">
      <c r="D29" s="37"/>
      <c r="E29" s="38" t="s">
        <v>31</v>
      </c>
      <c r="F29" s="39">
        <v>184</v>
      </c>
      <c r="G29" s="38" t="s">
        <v>32</v>
      </c>
      <c r="H29" s="40">
        <v>0.5</v>
      </c>
      <c r="I29" s="23"/>
      <c r="J29" s="23"/>
      <c r="K29" s="24"/>
      <c r="L29" s="38" t="s">
        <v>31</v>
      </c>
      <c r="M29" s="39">
        <v>184</v>
      </c>
      <c r="N29" s="38" t="s">
        <v>32</v>
      </c>
      <c r="O29" s="40">
        <v>0.5</v>
      </c>
      <c r="P29" s="23"/>
      <c r="Q29" s="23"/>
      <c r="R29" s="24"/>
    </row>
    <row r="30" spans="2:18" x14ac:dyDescent="0.25">
      <c r="D30" s="37"/>
      <c r="E30" s="38" t="s">
        <v>33</v>
      </c>
      <c r="F30" s="41">
        <v>0.85</v>
      </c>
      <c r="G30" s="38" t="s">
        <v>34</v>
      </c>
      <c r="H30" s="40">
        <v>0.5</v>
      </c>
      <c r="I30" s="23"/>
      <c r="J30" s="23"/>
      <c r="K30" s="24"/>
      <c r="L30" s="38" t="s">
        <v>33</v>
      </c>
      <c r="M30" s="41">
        <v>0.85</v>
      </c>
      <c r="N30" s="38" t="s">
        <v>34</v>
      </c>
      <c r="O30" s="40">
        <v>0.5</v>
      </c>
      <c r="P30" s="23"/>
      <c r="Q30" s="23"/>
      <c r="R30" s="24"/>
    </row>
    <row r="31" spans="2:18" x14ac:dyDescent="0.25">
      <c r="D31" s="37"/>
      <c r="E31" s="38" t="s">
        <v>35</v>
      </c>
      <c r="F31" s="41">
        <v>0.15</v>
      </c>
      <c r="G31" s="23"/>
      <c r="H31" s="23"/>
      <c r="I31" s="23"/>
      <c r="J31" s="23"/>
      <c r="K31" s="24"/>
      <c r="L31" s="38" t="s">
        <v>35</v>
      </c>
      <c r="M31" s="41">
        <v>0.15</v>
      </c>
      <c r="N31" s="23"/>
      <c r="O31" s="23"/>
      <c r="P31" s="23"/>
      <c r="Q31" s="23"/>
      <c r="R31" s="24"/>
    </row>
    <row r="32" spans="2:18" x14ac:dyDescent="0.25">
      <c r="D32" s="37"/>
      <c r="E32" s="42"/>
      <c r="F32" s="41">
        <v>1</v>
      </c>
      <c r="G32" s="23"/>
      <c r="H32" s="23"/>
      <c r="I32" s="23"/>
      <c r="J32" s="23"/>
      <c r="K32" s="24"/>
      <c r="L32" s="42"/>
      <c r="M32" s="41">
        <v>1</v>
      </c>
      <c r="N32" s="23"/>
      <c r="O32" s="23"/>
      <c r="P32" s="23"/>
      <c r="Q32" s="23"/>
      <c r="R32" s="24"/>
    </row>
    <row r="33" spans="3:18" x14ac:dyDescent="0.25">
      <c r="D33" s="20"/>
      <c r="E33" s="27">
        <f>+E7</f>
        <v>44865</v>
      </c>
      <c r="F33" s="27">
        <f t="shared" ref="F33:R33" si="1">+F7</f>
        <v>44866</v>
      </c>
      <c r="G33" s="27">
        <f t="shared" si="1"/>
        <v>44867</v>
      </c>
      <c r="H33" s="27">
        <f t="shared" si="1"/>
        <v>44868</v>
      </c>
      <c r="I33" s="27">
        <f t="shared" si="1"/>
        <v>44869</v>
      </c>
      <c r="J33" s="27">
        <f t="shared" si="1"/>
        <v>44870</v>
      </c>
      <c r="K33" s="27">
        <f t="shared" si="1"/>
        <v>44871</v>
      </c>
      <c r="L33" s="27">
        <f t="shared" si="1"/>
        <v>44872</v>
      </c>
      <c r="M33" s="27">
        <f t="shared" si="1"/>
        <v>44873</v>
      </c>
      <c r="N33" s="27">
        <f t="shared" si="1"/>
        <v>44874</v>
      </c>
      <c r="O33" s="27">
        <f t="shared" si="1"/>
        <v>44875</v>
      </c>
      <c r="P33" s="27">
        <f t="shared" si="1"/>
        <v>44876</v>
      </c>
      <c r="Q33" s="27">
        <f t="shared" si="1"/>
        <v>44877</v>
      </c>
      <c r="R33" s="27">
        <f t="shared" si="1"/>
        <v>44878</v>
      </c>
    </row>
    <row r="34" spans="3:18" x14ac:dyDescent="0.25">
      <c r="D34" s="20"/>
      <c r="E34" s="43"/>
      <c r="F34" s="43"/>
      <c r="G34" s="43"/>
      <c r="H34" s="43"/>
      <c r="I34" s="43"/>
      <c r="J34" s="43"/>
      <c r="K34" s="44"/>
      <c r="L34" s="43"/>
      <c r="M34" s="43"/>
      <c r="N34" s="43"/>
      <c r="O34" s="43"/>
      <c r="P34" s="43"/>
      <c r="Q34" s="43"/>
      <c r="R34" s="44"/>
    </row>
    <row r="35" spans="3:18" ht="15.75" thickBot="1" x14ac:dyDescent="0.3">
      <c r="D35" s="30" t="s">
        <v>10</v>
      </c>
      <c r="E35" s="31" t="s">
        <v>2</v>
      </c>
      <c r="F35" s="31" t="s">
        <v>3</v>
      </c>
      <c r="G35" s="31" t="s">
        <v>4</v>
      </c>
      <c r="H35" s="31" t="s">
        <v>5</v>
      </c>
      <c r="I35" s="31" t="s">
        <v>6</v>
      </c>
      <c r="J35" s="31" t="s">
        <v>7</v>
      </c>
      <c r="K35" s="32" t="s">
        <v>8</v>
      </c>
      <c r="L35" s="31" t="s">
        <v>2</v>
      </c>
      <c r="M35" s="31" t="s">
        <v>3</v>
      </c>
      <c r="N35" s="31" t="s">
        <v>4</v>
      </c>
      <c r="O35" s="31" t="s">
        <v>5</v>
      </c>
      <c r="P35" s="31" t="s">
        <v>6</v>
      </c>
      <c r="Q35" s="31" t="s">
        <v>7</v>
      </c>
      <c r="R35" s="32" t="s">
        <v>8</v>
      </c>
    </row>
    <row r="36" spans="3:18" x14ac:dyDescent="0.25">
      <c r="D36" s="6" t="s">
        <v>11</v>
      </c>
      <c r="E36" s="3">
        <v>10.021475955572342</v>
      </c>
      <c r="F36" s="3">
        <v>11.113793730023293</v>
      </c>
      <c r="G36" s="3">
        <v>10.200016711356966</v>
      </c>
      <c r="H36" s="3">
        <v>11.692119828070304</v>
      </c>
      <c r="I36" s="3">
        <v>12.972771955388424</v>
      </c>
      <c r="J36" s="3">
        <v>10.647199030683426</v>
      </c>
      <c r="K36" s="3">
        <v>6.4515374126545586</v>
      </c>
      <c r="L36" s="3">
        <v>10.461102645981805</v>
      </c>
      <c r="M36" s="3">
        <v>11.601338716119557</v>
      </c>
      <c r="N36" s="3">
        <v>10.64747570929446</v>
      </c>
      <c r="O36" s="3">
        <v>12.205035087925539</v>
      </c>
      <c r="P36" s="3">
        <v>13.541867448454285</v>
      </c>
      <c r="Q36" s="3">
        <v>11.114275227118092</v>
      </c>
      <c r="R36" s="3">
        <v>6.7345564063987933</v>
      </c>
    </row>
    <row r="37" spans="3:18" x14ac:dyDescent="0.25">
      <c r="D37" s="7" t="s">
        <v>12</v>
      </c>
      <c r="E37" s="2">
        <v>15.635860611261535</v>
      </c>
      <c r="F37" s="2">
        <v>17.163541455351833</v>
      </c>
      <c r="G37" s="2">
        <v>16.153980196639228</v>
      </c>
      <c r="H37" s="2">
        <v>15.374069230909988</v>
      </c>
      <c r="I37" s="2">
        <v>18.180352925377413</v>
      </c>
      <c r="J37" s="2">
        <v>13.91014469651404</v>
      </c>
      <c r="K37" s="2">
        <v>6.1018610293232438</v>
      </c>
      <c r="L37" s="3">
        <v>16.321781695411858</v>
      </c>
      <c r="M37" s="3">
        <v>17.916479541435482</v>
      </c>
      <c r="N37" s="3">
        <v>16.862630387716088</v>
      </c>
      <c r="O37" s="3">
        <v>16.048505931060202</v>
      </c>
      <c r="P37" s="3">
        <v>18.977896962053517</v>
      </c>
      <c r="Q37" s="3">
        <v>14.520361285682707</v>
      </c>
      <c r="R37" s="3">
        <v>6.3695402595635997</v>
      </c>
    </row>
    <row r="38" spans="3:18" x14ac:dyDescent="0.25">
      <c r="D38" s="7" t="s">
        <v>13</v>
      </c>
      <c r="E38" s="2">
        <v>20.150676053841931</v>
      </c>
      <c r="F38" s="2">
        <v>19.529788978108638</v>
      </c>
      <c r="G38" s="2">
        <v>17.016337921104672</v>
      </c>
      <c r="H38" s="2">
        <v>19.41999255944306</v>
      </c>
      <c r="I38" s="2">
        <v>20.23784445541898</v>
      </c>
      <c r="J38" s="2">
        <v>16.605223752074689</v>
      </c>
      <c r="K38" s="2">
        <v>6.1721828338091171</v>
      </c>
      <c r="L38" s="3">
        <v>21.034655126618922</v>
      </c>
      <c r="M38" s="3">
        <v>20.386530692692812</v>
      </c>
      <c r="N38" s="3">
        <v>17.762818415226363</v>
      </c>
      <c r="O38" s="3">
        <v>20.271917674519266</v>
      </c>
      <c r="P38" s="3">
        <v>21.125647471501679</v>
      </c>
      <c r="Q38" s="3">
        <v>17.333669301811707</v>
      </c>
      <c r="R38" s="3">
        <v>6.4429469731294144</v>
      </c>
    </row>
    <row r="39" spans="3:18" x14ac:dyDescent="0.25">
      <c r="D39" s="7" t="s">
        <v>14</v>
      </c>
      <c r="E39" s="2">
        <v>19.899781468558245</v>
      </c>
      <c r="F39" s="2">
        <v>20.217416127861405</v>
      </c>
      <c r="G39" s="2">
        <v>17.560863042066806</v>
      </c>
      <c r="H39" s="2">
        <v>19.649784039402459</v>
      </c>
      <c r="I39" s="2">
        <v>19.056396848199199</v>
      </c>
      <c r="J39" s="2">
        <v>17.476567742684701</v>
      </c>
      <c r="K39" s="2">
        <v>6.047325945295956</v>
      </c>
      <c r="L39" s="3">
        <v>20.772754182924665</v>
      </c>
      <c r="M39" s="3">
        <v>21.104322984728174</v>
      </c>
      <c r="N39" s="3">
        <v>18.331231013226279</v>
      </c>
      <c r="O39" s="3">
        <v>20.51178975221363</v>
      </c>
      <c r="P39" s="3">
        <v>19.892371580328838</v>
      </c>
      <c r="Q39" s="3">
        <v>18.243237809099526</v>
      </c>
      <c r="R39" s="3">
        <v>6.312612805529298</v>
      </c>
    </row>
    <row r="40" spans="3:18" x14ac:dyDescent="0.25">
      <c r="D40" s="7" t="s">
        <v>15</v>
      </c>
      <c r="E40" s="2">
        <v>21.717230230443683</v>
      </c>
      <c r="F40" s="2">
        <v>19.534152868264851</v>
      </c>
      <c r="G40" s="2">
        <v>17.628271234431466</v>
      </c>
      <c r="H40" s="2">
        <v>19.544082332751412</v>
      </c>
      <c r="I40" s="2">
        <v>19.150651807048096</v>
      </c>
      <c r="J40" s="2">
        <v>17.589839023219113</v>
      </c>
      <c r="K40" s="2">
        <v>7.89795619911831</v>
      </c>
      <c r="L40" s="3">
        <v>22.669931618282824</v>
      </c>
      <c r="M40" s="3">
        <v>20.391086019978168</v>
      </c>
      <c r="N40" s="3">
        <v>18.401596299001842</v>
      </c>
      <c r="O40" s="3">
        <v>20.401451074753929</v>
      </c>
      <c r="P40" s="3">
        <v>19.990761358818776</v>
      </c>
      <c r="Q40" s="3">
        <v>18.361478125971555</v>
      </c>
      <c r="R40" s="3">
        <v>8.2444273536877724</v>
      </c>
    </row>
    <row r="41" spans="3:18" x14ac:dyDescent="0.25">
      <c r="D41" s="7" t="s">
        <v>16</v>
      </c>
      <c r="E41" s="2">
        <v>21.01180319551926</v>
      </c>
      <c r="F41" s="2">
        <v>18.072981344575581</v>
      </c>
      <c r="G41" s="2">
        <v>17.473580664938105</v>
      </c>
      <c r="H41" s="2">
        <v>16.671715762350949</v>
      </c>
      <c r="I41" s="2">
        <v>16.341737425336511</v>
      </c>
      <c r="J41" s="2">
        <v>15.907795235502148</v>
      </c>
      <c r="K41" s="2">
        <v>7.2475785028603852</v>
      </c>
      <c r="L41" s="3">
        <v>21.933558587572545</v>
      </c>
      <c r="M41" s="3">
        <v>18.865815155640089</v>
      </c>
      <c r="N41" s="3">
        <v>18.240119692860244</v>
      </c>
      <c r="O41" s="3">
        <v>17.403078214004015</v>
      </c>
      <c r="P41" s="3">
        <v>17.05862423639017</v>
      </c>
      <c r="Q41" s="3">
        <v>16.605645672114388</v>
      </c>
      <c r="R41" s="3">
        <v>7.5655185912087077</v>
      </c>
    </row>
    <row r="42" spans="3:18" x14ac:dyDescent="0.25">
      <c r="D42" s="7" t="s">
        <v>17</v>
      </c>
      <c r="E42" s="2">
        <v>18.612137797127954</v>
      </c>
      <c r="F42" s="2">
        <v>16.546482695122283</v>
      </c>
      <c r="G42" s="2">
        <v>16.722429587575984</v>
      </c>
      <c r="H42" s="2">
        <v>16.131568911367584</v>
      </c>
      <c r="I42" s="2">
        <v>16.060852287849727</v>
      </c>
      <c r="J42" s="2">
        <v>16.114528483584358</v>
      </c>
      <c r="K42" s="2">
        <v>7.2055990958285614</v>
      </c>
      <c r="L42" s="3">
        <v>19.428623570029146</v>
      </c>
      <c r="M42" s="3">
        <v>17.272351365308459</v>
      </c>
      <c r="N42" s="3">
        <v>17.456016776507319</v>
      </c>
      <c r="O42" s="3">
        <v>16.839235953932633</v>
      </c>
      <c r="P42" s="3">
        <v>16.765417101232984</v>
      </c>
      <c r="Q42" s="3">
        <v>16.821447988870201</v>
      </c>
      <c r="R42" s="3">
        <v>7.5216976123504811</v>
      </c>
    </row>
    <row r="43" spans="3:18" x14ac:dyDescent="0.25">
      <c r="C43" s="12"/>
      <c r="D43" s="7" t="s">
        <v>18</v>
      </c>
      <c r="E43" s="2">
        <v>17.993454294275171</v>
      </c>
      <c r="F43" s="2">
        <v>17.392414043903027</v>
      </c>
      <c r="G43" s="2">
        <v>18.046456583301978</v>
      </c>
      <c r="H43" s="2">
        <v>17.980473681104186</v>
      </c>
      <c r="I43" s="2">
        <v>18.855589548255313</v>
      </c>
      <c r="J43" s="2">
        <v>15.580032138564297</v>
      </c>
      <c r="K43" s="2">
        <v>6.7158888301539923</v>
      </c>
      <c r="L43" s="3">
        <v>18.782799376326448</v>
      </c>
      <c r="M43" s="3">
        <v>18.155392417373111</v>
      </c>
      <c r="N43" s="3">
        <v>18.838126794008179</v>
      </c>
      <c r="O43" s="3">
        <v>18.769249323680359</v>
      </c>
      <c r="P43" s="3">
        <v>19.682755173914426</v>
      </c>
      <c r="Q43" s="3">
        <v>16.263504113741917</v>
      </c>
      <c r="R43" s="3">
        <v>7.0105045127787431</v>
      </c>
    </row>
    <row r="44" spans="3:18" x14ac:dyDescent="0.25">
      <c r="D44" s="7" t="s">
        <v>19</v>
      </c>
      <c r="E44" s="2">
        <v>19.971361378353166</v>
      </c>
      <c r="F44" s="2">
        <v>18.667081895207787</v>
      </c>
      <c r="G44" s="2">
        <v>19.328396104716973</v>
      </c>
      <c r="H44" s="2">
        <v>16.389925517575563</v>
      </c>
      <c r="I44" s="2">
        <v>20.461582106509358</v>
      </c>
      <c r="J44" s="2">
        <v>15.349498046644765</v>
      </c>
      <c r="K44" s="2">
        <v>5.9345856885918522</v>
      </c>
      <c r="L44" s="3">
        <v>20.847474192938609</v>
      </c>
      <c r="M44" s="3">
        <v>19.485977980931505</v>
      </c>
      <c r="N44" s="3">
        <v>20.176303024626819</v>
      </c>
      <c r="O44" s="3">
        <v>17.10892626589775</v>
      </c>
      <c r="P44" s="3">
        <v>21.359200148193558</v>
      </c>
      <c r="Q44" s="3">
        <v>16.022856846846324</v>
      </c>
      <c r="R44" s="3">
        <v>6.1949268076838226</v>
      </c>
    </row>
    <row r="45" spans="3:18" x14ac:dyDescent="0.25">
      <c r="D45" s="7" t="s">
        <v>20</v>
      </c>
      <c r="E45" s="2">
        <v>18.764518484625697</v>
      </c>
      <c r="F45" s="2">
        <v>19.407222109143991</v>
      </c>
      <c r="G45" s="2">
        <v>18.554633699873435</v>
      </c>
      <c r="H45" s="2">
        <v>17.677651565127057</v>
      </c>
      <c r="I45" s="2">
        <v>20.013383400171474</v>
      </c>
      <c r="J45" s="2">
        <v>14.915118182890605</v>
      </c>
      <c r="K45" s="2">
        <v>6.7473005175814329</v>
      </c>
      <c r="L45" s="3">
        <v>19.587688963215346</v>
      </c>
      <c r="M45" s="3">
        <v>20.258587004266072</v>
      </c>
      <c r="N45" s="3">
        <v>19.368596856737522</v>
      </c>
      <c r="O45" s="3">
        <v>18.453142868627836</v>
      </c>
      <c r="P45" s="3">
        <v>20.891339656028261</v>
      </c>
      <c r="Q45" s="3">
        <v>15.569421408571069</v>
      </c>
      <c r="R45" s="3">
        <v>7.0432941824759716</v>
      </c>
    </row>
    <row r="46" spans="3:18" x14ac:dyDescent="0.25">
      <c r="D46" s="7" t="s">
        <v>21</v>
      </c>
      <c r="E46" s="2">
        <v>17.351199302464433</v>
      </c>
      <c r="F46" s="2">
        <v>17.759759263703582</v>
      </c>
      <c r="G46" s="2">
        <v>18.803957235736231</v>
      </c>
      <c r="H46" s="2">
        <v>18.293373930983879</v>
      </c>
      <c r="I46" s="2">
        <v>16.472766657655299</v>
      </c>
      <c r="J46" s="2">
        <v>13.488085580108081</v>
      </c>
      <c r="K46" s="2">
        <v>6.6567574261848019</v>
      </c>
      <c r="L46" s="3">
        <v>18.11236964880807</v>
      </c>
      <c r="M46" s="3">
        <v>18.538852505276388</v>
      </c>
      <c r="N46" s="3">
        <v>19.628857831496394</v>
      </c>
      <c r="O46" s="3">
        <v>19.095876024822601</v>
      </c>
      <c r="P46" s="3">
        <v>17.195401518996817</v>
      </c>
      <c r="Q46" s="3">
        <v>14.079787086935063</v>
      </c>
      <c r="R46" s="3">
        <v>6.9487791053372598</v>
      </c>
    </row>
    <row r="47" spans="3:18" x14ac:dyDescent="0.25">
      <c r="D47" s="7" t="s">
        <v>22</v>
      </c>
      <c r="E47" s="2">
        <v>15.915862346123564</v>
      </c>
      <c r="F47" s="2">
        <v>14.868728453896171</v>
      </c>
      <c r="G47" s="2">
        <v>15.256980457164687</v>
      </c>
      <c r="H47" s="2">
        <v>15.125872735461353</v>
      </c>
      <c r="I47" s="2">
        <v>14.535175965126255</v>
      </c>
      <c r="J47" s="2">
        <v>13.164152273491872</v>
      </c>
      <c r="K47" s="2">
        <v>6.9326696666947161</v>
      </c>
      <c r="L47" s="3">
        <v>16.614066674433932</v>
      </c>
      <c r="M47" s="3">
        <v>15.520996633729377</v>
      </c>
      <c r="N47" s="3">
        <v>15.926280653439225</v>
      </c>
      <c r="O47" s="3">
        <v>15.789421438239817</v>
      </c>
      <c r="P47" s="3">
        <v>15.17281171183625</v>
      </c>
      <c r="Q47" s="3">
        <v>13.741643325877572</v>
      </c>
      <c r="R47" s="3">
        <v>7.2367951901987029</v>
      </c>
    </row>
    <row r="48" spans="3:18" x14ac:dyDescent="0.25">
      <c r="D48" s="7" t="s">
        <v>23</v>
      </c>
      <c r="E48" s="2">
        <v>13.682536359615264</v>
      </c>
      <c r="F48" s="2">
        <v>13.629100172627208</v>
      </c>
      <c r="G48" s="2">
        <v>14.43362414114522</v>
      </c>
      <c r="H48" s="2">
        <v>12.965670032157144</v>
      </c>
      <c r="I48" s="2">
        <v>12.265661591333572</v>
      </c>
      <c r="J48" s="2">
        <v>12.555253627272196</v>
      </c>
      <c r="K48" s="2">
        <v>7.0900302537488757</v>
      </c>
      <c r="L48" s="3">
        <v>14.282768122167177</v>
      </c>
      <c r="M48" s="3">
        <v>14.226987772089988</v>
      </c>
      <c r="N48" s="3">
        <v>15.06680496599742</v>
      </c>
      <c r="O48" s="3">
        <v>13.534453974806723</v>
      </c>
      <c r="P48" s="3">
        <v>12.803737243561436</v>
      </c>
      <c r="Q48" s="3">
        <v>13.106033235373728</v>
      </c>
      <c r="R48" s="3">
        <v>7.4010589434525533</v>
      </c>
    </row>
    <row r="49" spans="3:19" x14ac:dyDescent="0.25">
      <c r="D49" s="7" t="s">
        <v>24</v>
      </c>
      <c r="E49" s="2">
        <v>12.354362514956769</v>
      </c>
      <c r="F49" s="2">
        <v>12.465166047527646</v>
      </c>
      <c r="G49" s="2">
        <v>12.527338719460658</v>
      </c>
      <c r="H49" s="2">
        <v>11.738436519740103</v>
      </c>
      <c r="I49" s="2">
        <v>11.173530057666637</v>
      </c>
      <c r="J49" s="2">
        <v>9.7790717907798914</v>
      </c>
      <c r="K49" s="2">
        <v>6.1466747986409986</v>
      </c>
      <c r="L49" s="3">
        <v>12.896329339868336</v>
      </c>
      <c r="M49" s="3">
        <v>13.011993652480573</v>
      </c>
      <c r="N49" s="3">
        <v>13.076893743619801</v>
      </c>
      <c r="O49" s="3">
        <v>12.253383621407842</v>
      </c>
      <c r="P49" s="3">
        <v>11.663695584303587</v>
      </c>
      <c r="Q49" s="3">
        <v>10.208064584427881</v>
      </c>
      <c r="R49" s="3">
        <v>6.4163199398087745</v>
      </c>
    </row>
    <row r="50" spans="3:19" x14ac:dyDescent="0.25">
      <c r="D50" s="7" t="s">
        <v>25</v>
      </c>
      <c r="E50" s="2">
        <v>1</v>
      </c>
      <c r="F50" s="2">
        <v>1</v>
      </c>
      <c r="G50" s="2">
        <v>1</v>
      </c>
      <c r="H50" s="2">
        <v>1</v>
      </c>
      <c r="I50" s="2">
        <v>1</v>
      </c>
      <c r="J50" s="2">
        <v>1</v>
      </c>
      <c r="K50" s="2">
        <v>1</v>
      </c>
      <c r="L50" s="3">
        <v>1</v>
      </c>
      <c r="M50" s="3">
        <v>1</v>
      </c>
      <c r="N50" s="3">
        <v>1</v>
      </c>
      <c r="O50" s="3">
        <v>1</v>
      </c>
      <c r="P50" s="3">
        <v>1</v>
      </c>
      <c r="Q50" s="3">
        <v>1</v>
      </c>
      <c r="R50" s="3">
        <v>1</v>
      </c>
    </row>
    <row r="52" spans="3:19" ht="19.5" thickBot="1" x14ac:dyDescent="0.35">
      <c r="D52" s="11" t="s">
        <v>36</v>
      </c>
      <c r="E52" s="12"/>
      <c r="F52" s="12"/>
      <c r="G52" s="12"/>
      <c r="H52" s="12"/>
      <c r="I52" s="12"/>
      <c r="J52" s="12"/>
      <c r="K52" s="12"/>
      <c r="L52" s="11"/>
      <c r="M52" s="12"/>
      <c r="N52" s="12"/>
      <c r="O52" s="12"/>
      <c r="P52" s="12"/>
      <c r="Q52" s="12"/>
      <c r="R52" s="12"/>
      <c r="S52" s="12"/>
    </row>
    <row r="53" spans="3:19" x14ac:dyDescent="0.25">
      <c r="C53" s="45">
        <v>9.2300900584365539</v>
      </c>
      <c r="D53" s="4" t="s">
        <v>37</v>
      </c>
      <c r="E53" s="46">
        <v>10.766561946396372</v>
      </c>
      <c r="F53" s="46">
        <v>10.360384260409695</v>
      </c>
      <c r="G53" s="46">
        <v>9.7094846448475369</v>
      </c>
      <c r="H53" s="46">
        <v>10.129767749626875</v>
      </c>
      <c r="I53" s="46">
        <v>10.455816838757986</v>
      </c>
      <c r="J53" s="46">
        <v>9.1920535390466807</v>
      </c>
      <c r="K53" s="47">
        <v>3.9965614299707317</v>
      </c>
      <c r="L53" s="46">
        <v>11.231935093952336</v>
      </c>
      <c r="M53" s="46">
        <v>10.808200811056103</v>
      </c>
      <c r="N53" s="46">
        <v>10.129166754402606</v>
      </c>
      <c r="O53" s="46">
        <v>10.567616147762235</v>
      </c>
      <c r="P53" s="46">
        <v>10.907758360735674</v>
      </c>
      <c r="Q53" s="46">
        <v>9.5893702413762352</v>
      </c>
      <c r="R53" s="46">
        <v>4.1693085317220708</v>
      </c>
      <c r="S53" s="45">
        <v>9.6290508487153232</v>
      </c>
    </row>
    <row r="54" spans="3:19" x14ac:dyDescent="0.25">
      <c r="C54" s="48">
        <v>7.6771871585657747</v>
      </c>
      <c r="D54" s="5" t="s">
        <v>38</v>
      </c>
      <c r="E54" s="49">
        <v>8.738201975046854</v>
      </c>
      <c r="F54" s="49">
        <v>8.6013342137993316</v>
      </c>
      <c r="G54" s="49">
        <v>8.8063523632382097</v>
      </c>
      <c r="H54" s="49">
        <v>8.3030712767514672</v>
      </c>
      <c r="I54" s="49">
        <v>8.5707674077453593</v>
      </c>
      <c r="J54" s="49">
        <v>7.1643621213745314</v>
      </c>
      <c r="K54" s="50">
        <v>3.5562207520046791</v>
      </c>
      <c r="L54" s="49">
        <v>9.1104984364074291</v>
      </c>
      <c r="M54" s="49">
        <v>8.9677147122770631</v>
      </c>
      <c r="N54" s="49">
        <v>9.1815945523824212</v>
      </c>
      <c r="O54" s="49">
        <v>8.6565596781508276</v>
      </c>
      <c r="P54" s="49">
        <v>8.9358266886594091</v>
      </c>
      <c r="Q54" s="49">
        <v>7.4686310350277667</v>
      </c>
      <c r="R54" s="49">
        <v>3.7045316064138905</v>
      </c>
      <c r="S54" s="48">
        <v>8.0036223870455441</v>
      </c>
    </row>
    <row r="55" spans="3:19" x14ac:dyDescent="0.25">
      <c r="C55" s="48">
        <v>16.907277217002328</v>
      </c>
      <c r="D55" s="20"/>
      <c r="E55" s="42"/>
      <c r="F55" s="42"/>
      <c r="G55" s="42"/>
      <c r="H55" s="42"/>
      <c r="I55" s="42"/>
      <c r="J55" s="42"/>
      <c r="K55" s="42"/>
      <c r="L55" s="20"/>
      <c r="M55" s="42"/>
      <c r="N55" s="42"/>
      <c r="O55" s="42"/>
      <c r="P55" s="42"/>
      <c r="Q55" s="42"/>
      <c r="R55" s="42"/>
      <c r="S55" s="48">
        <v>17.632673235760869</v>
      </c>
    </row>
    <row r="56" spans="3:19" ht="15.75" thickBot="1" x14ac:dyDescent="0.3">
      <c r="C56" s="51">
        <v>23.670188103803259</v>
      </c>
      <c r="D56" s="52" t="s">
        <v>39</v>
      </c>
      <c r="E56" s="53"/>
      <c r="F56" s="54">
        <v>10526.927421179726</v>
      </c>
      <c r="G56" s="55"/>
      <c r="H56" s="55"/>
      <c r="I56" s="55"/>
      <c r="J56" s="55"/>
      <c r="K56" s="55"/>
      <c r="L56" s="52" t="s">
        <v>39</v>
      </c>
      <c r="M56" s="53"/>
      <c r="N56" s="54">
        <v>10981.942622176854</v>
      </c>
      <c r="O56" s="55"/>
      <c r="P56" s="55"/>
      <c r="Q56" s="55"/>
      <c r="R56" s="55"/>
      <c r="S56" s="51">
        <v>24.685742530065216</v>
      </c>
    </row>
    <row r="57" spans="3:19" ht="19.5" thickBot="1" x14ac:dyDescent="0.3">
      <c r="C57" s="56">
        <v>28</v>
      </c>
      <c r="L57" s="8"/>
      <c r="S57" s="56">
        <v>29</v>
      </c>
    </row>
    <row r="73" spans="7:8" x14ac:dyDescent="0.25">
      <c r="G73" s="9"/>
      <c r="H73" s="10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AO69"/>
  <sheetViews>
    <sheetView showGridLines="0" showRowColHeaders="0" topLeftCell="A16" zoomScaleNormal="100" workbookViewId="0">
      <selection activeCell="K70" sqref="K70"/>
    </sheetView>
  </sheetViews>
  <sheetFormatPr baseColWidth="10" defaultRowHeight="15" x14ac:dyDescent="0.25"/>
  <cols>
    <col min="1" max="1" width="3.85546875" style="57" customWidth="1"/>
    <col min="2" max="2" width="34.7109375" style="57" customWidth="1"/>
    <col min="3" max="3" width="6.140625" style="57" hidden="1" customWidth="1"/>
    <col min="4" max="4" width="5.5703125" style="57" hidden="1" customWidth="1"/>
    <col min="5" max="5" width="5.85546875" style="57" hidden="1" customWidth="1"/>
    <col min="6" max="6" width="7.28515625" style="57" hidden="1" customWidth="1"/>
    <col min="7" max="20" width="7.42578125" style="57" customWidth="1"/>
    <col min="21" max="37" width="7.42578125" style="57" hidden="1" customWidth="1"/>
    <col min="38" max="38" width="10.140625" style="57" customWidth="1"/>
    <col min="39" max="39" width="9.28515625" style="57" customWidth="1"/>
    <col min="40" max="40" width="10.28515625" style="57" customWidth="1"/>
    <col min="41" max="41" width="9.85546875" style="57" customWidth="1"/>
    <col min="42" max="16384" width="11.42578125" style="57"/>
  </cols>
  <sheetData>
    <row r="1" spans="1:37" ht="44.25" customHeight="1" x14ac:dyDescent="0.25"/>
    <row r="2" spans="1:37" hidden="1" x14ac:dyDescent="0.25"/>
    <row r="3" spans="1:37" hidden="1" x14ac:dyDescent="0.25"/>
    <row r="4" spans="1:37" hidden="1" x14ac:dyDescent="0.25"/>
    <row r="5" spans="1:37" hidden="1" x14ac:dyDescent="0.25"/>
    <row r="6" spans="1:37" hidden="1" x14ac:dyDescent="0.25"/>
    <row r="7" spans="1:37" hidden="1" x14ac:dyDescent="0.25"/>
    <row r="8" spans="1:37" hidden="1" x14ac:dyDescent="0.25"/>
    <row r="9" spans="1:37" hidden="1" x14ac:dyDescent="0.25"/>
    <row r="10" spans="1:37" hidden="1" x14ac:dyDescent="0.25"/>
    <row r="11" spans="1:37" hidden="1" x14ac:dyDescent="0.25"/>
    <row r="12" spans="1:37" ht="15.75" hidden="1" thickBot="1" x14ac:dyDescent="0.3"/>
    <row r="13" spans="1:37" ht="18" hidden="1" customHeight="1" thickBot="1" x14ac:dyDescent="0.35">
      <c r="A13" s="312" t="str">
        <f>+A20</f>
        <v>1010_PDV-VM</v>
      </c>
      <c r="B13" s="313"/>
      <c r="C13" s="313"/>
      <c r="D13" s="313"/>
      <c r="E13" s="313"/>
      <c r="F13" s="313"/>
      <c r="G13" s="58" t="str">
        <f>"Liste de Service pour le Week"&amp;" "&amp; WEEKNUM(M14)-WEEKNUM(M14)+1</f>
        <v>Liste de Service pour le Week 1</v>
      </c>
      <c r="H13" s="58"/>
      <c r="I13" s="58"/>
      <c r="J13" s="58"/>
      <c r="K13" s="59"/>
      <c r="L13" s="59"/>
      <c r="M13" s="59"/>
      <c r="N13" s="59"/>
      <c r="O13" s="59"/>
      <c r="P13" s="59"/>
      <c r="Q13" s="59"/>
      <c r="R13" s="59"/>
      <c r="S13" s="59"/>
      <c r="T13" s="60"/>
      <c r="U13" s="58" t="str">
        <f>"Liste de Service pour le Week"&amp;" "&amp; WEEKNUM(AA14)-WEEKNUM(AA14)+1</f>
        <v>Liste de Service pour le Week 1</v>
      </c>
      <c r="V13" s="58"/>
      <c r="W13" s="58"/>
      <c r="X13" s="58"/>
      <c r="Y13" s="59"/>
      <c r="Z13" s="59"/>
      <c r="AA13" s="59"/>
      <c r="AB13" s="59"/>
      <c r="AC13" s="59"/>
      <c r="AD13" s="59"/>
      <c r="AE13" s="59"/>
      <c r="AF13" s="59"/>
      <c r="AG13" s="59"/>
      <c r="AH13" s="60"/>
    </row>
    <row r="14" spans="1:37" ht="19.5" hidden="1" thickBot="1" x14ac:dyDescent="0.35">
      <c r="A14" s="314"/>
      <c r="B14" s="315"/>
      <c r="C14" s="315"/>
      <c r="D14" s="315"/>
      <c r="E14" s="315"/>
      <c r="F14" s="315"/>
      <c r="G14" s="59" t="str">
        <f>+V17</f>
        <v>Octobre</v>
      </c>
      <c r="H14" s="61"/>
      <c r="I14" s="61"/>
      <c r="J14" s="62"/>
      <c r="K14" s="318">
        <f>AD17</f>
        <v>2022</v>
      </c>
      <c r="L14" s="319"/>
      <c r="M14" s="63">
        <f>+R20</f>
        <v>44865</v>
      </c>
      <c r="N14" s="64"/>
      <c r="O14" s="64"/>
      <c r="P14" s="64"/>
      <c r="Q14" s="65" t="s">
        <v>41</v>
      </c>
      <c r="R14" s="64"/>
      <c r="S14" s="64"/>
      <c r="T14" s="66">
        <f>COUNTIF(G22:T22,"*?")</f>
        <v>14</v>
      </c>
      <c r="U14" s="59" t="str">
        <f>+G14</f>
        <v>Octobre</v>
      </c>
      <c r="V14" s="61"/>
      <c r="W14" s="61"/>
      <c r="X14" s="62"/>
      <c r="Y14" s="318">
        <f>+K14</f>
        <v>2022</v>
      </c>
      <c r="Z14" s="319"/>
      <c r="AA14" s="63">
        <f>+M14</f>
        <v>44865</v>
      </c>
      <c r="AB14" s="64"/>
      <c r="AC14" s="64"/>
      <c r="AD14" s="64"/>
      <c r="AE14" s="65" t="s">
        <v>41</v>
      </c>
      <c r="AF14" s="64"/>
      <c r="AG14" s="64"/>
      <c r="AH14" s="66">
        <f>COUNTIF(U22:AH22,"*?")</f>
        <v>14</v>
      </c>
    </row>
    <row r="15" spans="1:37" ht="16.5" hidden="1" thickBot="1" x14ac:dyDescent="0.3">
      <c r="A15" s="316"/>
      <c r="B15" s="317"/>
      <c r="C15" s="317"/>
      <c r="D15" s="317"/>
      <c r="E15" s="317"/>
      <c r="F15" s="317"/>
      <c r="G15" s="67" t="s">
        <v>42</v>
      </c>
      <c r="H15" s="67"/>
      <c r="I15" s="67"/>
      <c r="J15" s="67"/>
      <c r="K15" s="68"/>
      <c r="L15" s="69">
        <f>+L20</f>
        <v>31</v>
      </c>
      <c r="M15" s="301" t="s">
        <v>43</v>
      </c>
      <c r="N15" s="302"/>
      <c r="O15" s="303" t="s">
        <v>44</v>
      </c>
      <c r="P15" s="303"/>
      <c r="Q15" s="304"/>
      <c r="R15" s="305">
        <f>+M14+T14</f>
        <v>44879</v>
      </c>
      <c r="S15" s="306"/>
      <c r="T15" s="307"/>
      <c r="U15" s="67" t="s">
        <v>42</v>
      </c>
      <c r="V15" s="67"/>
      <c r="W15" s="67"/>
      <c r="X15" s="67"/>
      <c r="Y15" s="68"/>
      <c r="Z15" s="69">
        <f>+L15</f>
        <v>31</v>
      </c>
      <c r="AA15" s="301" t="s">
        <v>43</v>
      </c>
      <c r="AB15" s="302"/>
      <c r="AC15" s="303" t="s">
        <v>44</v>
      </c>
      <c r="AD15" s="303"/>
      <c r="AE15" s="304"/>
      <c r="AF15" s="305">
        <f>+AA14+AH14</f>
        <v>44879</v>
      </c>
      <c r="AG15" s="306"/>
      <c r="AH15" s="307"/>
    </row>
    <row r="16" spans="1:37" ht="15.75" customHeight="1" thickBot="1" x14ac:dyDescent="0.3"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</row>
    <row r="17" spans="1:41" ht="15" customHeight="1" thickTop="1" x14ac:dyDescent="0.25">
      <c r="F17" s="71"/>
      <c r="G17" s="285" t="str">
        <f>"Liste de Service pour le mois de :"&amp;""&amp; " "&amp;V17</f>
        <v>Liste de Service pour le mois de : Octobre</v>
      </c>
      <c r="H17" s="285"/>
      <c r="I17" s="285"/>
      <c r="J17" s="285"/>
      <c r="K17" s="285"/>
      <c r="L17" s="285"/>
      <c r="M17" s="285"/>
      <c r="N17" s="285"/>
      <c r="O17" s="285"/>
      <c r="P17" s="285"/>
      <c r="Q17" s="285"/>
      <c r="R17" s="285"/>
      <c r="S17" s="285"/>
      <c r="T17" s="285"/>
      <c r="U17" s="308"/>
      <c r="V17" s="310" t="s">
        <v>45</v>
      </c>
      <c r="W17" s="285"/>
      <c r="X17" s="285"/>
      <c r="Y17" s="285"/>
      <c r="Z17" s="285"/>
      <c r="AA17" s="285"/>
      <c r="AB17" s="285"/>
      <c r="AC17" s="308"/>
      <c r="AD17" s="285">
        <v>2022</v>
      </c>
      <c r="AE17" s="285"/>
      <c r="AF17" s="285"/>
      <c r="AG17" s="285"/>
      <c r="AH17" s="285"/>
      <c r="AI17" s="308"/>
      <c r="AJ17" s="72"/>
      <c r="AK17" s="71"/>
      <c r="AL17" s="72"/>
    </row>
    <row r="18" spans="1:41" ht="15" customHeight="1" thickBot="1" x14ac:dyDescent="0.3">
      <c r="F18" s="71"/>
      <c r="G18" s="292"/>
      <c r="H18" s="292"/>
      <c r="I18" s="292"/>
      <c r="J18" s="292"/>
      <c r="K18" s="292"/>
      <c r="L18" s="292"/>
      <c r="M18" s="292"/>
      <c r="N18" s="292"/>
      <c r="O18" s="292"/>
      <c r="P18" s="292"/>
      <c r="Q18" s="292"/>
      <c r="R18" s="292"/>
      <c r="S18" s="292"/>
      <c r="T18" s="292"/>
      <c r="U18" s="309"/>
      <c r="V18" s="311"/>
      <c r="W18" s="292"/>
      <c r="X18" s="292"/>
      <c r="Y18" s="292"/>
      <c r="Z18" s="292"/>
      <c r="AA18" s="292"/>
      <c r="AB18" s="292"/>
      <c r="AC18" s="309"/>
      <c r="AD18" s="292"/>
      <c r="AE18" s="292"/>
      <c r="AF18" s="292"/>
      <c r="AG18" s="292"/>
      <c r="AH18" s="292"/>
      <c r="AI18" s="309"/>
      <c r="AJ18" s="72"/>
      <c r="AK18" s="71"/>
      <c r="AL18" s="72"/>
    </row>
    <row r="19" spans="1:41" ht="15.75" customHeight="1" thickBot="1" x14ac:dyDescent="0.3">
      <c r="D19" s="72"/>
      <c r="E19" s="72"/>
      <c r="F19" s="71"/>
      <c r="G19" s="73"/>
      <c r="H19" s="74"/>
      <c r="I19" s="74"/>
      <c r="J19" s="74"/>
      <c r="K19" s="74"/>
      <c r="L19" s="74"/>
      <c r="M19" s="74"/>
      <c r="N19" s="72"/>
      <c r="O19" s="74"/>
      <c r="P19" s="74"/>
      <c r="Q19" s="74"/>
      <c r="R19" s="74"/>
      <c r="S19" s="74"/>
      <c r="T19" s="74"/>
      <c r="U19" s="74"/>
      <c r="V19" s="72"/>
      <c r="W19" s="74"/>
      <c r="X19" s="74"/>
      <c r="Y19" s="74"/>
      <c r="Z19" s="74"/>
      <c r="AA19" s="74"/>
      <c r="AB19" s="74"/>
      <c r="AC19" s="74"/>
      <c r="AD19" s="72"/>
      <c r="AE19" s="74"/>
      <c r="AF19" s="74"/>
      <c r="AG19" s="74"/>
      <c r="AH19" s="74"/>
      <c r="AI19" s="74"/>
      <c r="AJ19" s="72"/>
      <c r="AK19" s="71"/>
      <c r="AL19" s="75"/>
    </row>
    <row r="20" spans="1:41" ht="18" customHeight="1" thickTop="1" thickBot="1" x14ac:dyDescent="0.35">
      <c r="A20" s="281" t="s">
        <v>46</v>
      </c>
      <c r="B20" s="282"/>
      <c r="C20" s="282"/>
      <c r="D20" s="282"/>
      <c r="E20" s="282"/>
      <c r="F20" s="283"/>
      <c r="G20" s="76" t="s">
        <v>47</v>
      </c>
      <c r="H20" s="76"/>
      <c r="I20" s="76"/>
      <c r="J20" s="76"/>
      <c r="K20" s="76"/>
      <c r="L20" s="77">
        <v>31</v>
      </c>
      <c r="M20" s="78"/>
      <c r="N20" s="79"/>
      <c r="O20" s="80" t="s">
        <v>43</v>
      </c>
      <c r="P20" s="80"/>
      <c r="Q20" s="80"/>
      <c r="R20" s="81">
        <f>IFERROR(DATEVALUE(L20&amp;V17&amp;AD17),"")</f>
        <v>44865</v>
      </c>
      <c r="S20" s="81"/>
      <c r="T20" s="81"/>
      <c r="U20" s="82"/>
      <c r="V20" s="79"/>
      <c r="W20" s="80" t="s">
        <v>44</v>
      </c>
      <c r="X20" s="80"/>
      <c r="Y20" s="80"/>
      <c r="Z20" s="81">
        <f>IFERROR(EOMONTH(R20,0)+L20-1,"")</f>
        <v>44895</v>
      </c>
      <c r="AA20" s="81"/>
      <c r="AB20" s="81"/>
      <c r="AC20" s="82"/>
      <c r="AD20" s="79"/>
      <c r="AE20" s="83" t="s">
        <v>41</v>
      </c>
      <c r="AF20" s="83"/>
      <c r="AG20" s="83"/>
      <c r="AH20" s="84">
        <f>+COUNTIF(G22:AK22,"*?")</f>
        <v>31</v>
      </c>
      <c r="AI20" s="85"/>
      <c r="AJ20" s="86"/>
      <c r="AK20" s="87"/>
      <c r="AL20" s="290" t="s">
        <v>48</v>
      </c>
      <c r="AM20" s="290"/>
      <c r="AN20" s="290"/>
      <c r="AO20" s="291"/>
    </row>
    <row r="21" spans="1:41" ht="27" customHeight="1" thickTop="1" thickBot="1" x14ac:dyDescent="0.3">
      <c r="A21" s="284"/>
      <c r="B21" s="285"/>
      <c r="C21" s="285"/>
      <c r="D21" s="285"/>
      <c r="E21" s="285"/>
      <c r="F21" s="286"/>
      <c r="G21" s="88" t="str">
        <f>"S"&amp;_xlfn.ISOWEEKNUM(G23)</f>
        <v>S44</v>
      </c>
      <c r="H21" s="89"/>
      <c r="I21" s="89"/>
      <c r="J21" s="89"/>
      <c r="K21" s="89"/>
      <c r="L21" s="89"/>
      <c r="M21" s="90"/>
      <c r="N21" s="88" t="str">
        <f>"S"&amp;_xlfn.ISOWEEKNUM(N23)</f>
        <v>S45</v>
      </c>
      <c r="O21" s="89"/>
      <c r="P21" s="89"/>
      <c r="Q21" s="89"/>
      <c r="R21" s="89"/>
      <c r="S21" s="89"/>
      <c r="T21" s="90"/>
      <c r="U21" s="88" t="str">
        <f>"S"&amp;_xlfn.ISOWEEKNUM(U23)</f>
        <v>S46</v>
      </c>
      <c r="V21" s="89"/>
      <c r="W21" s="89"/>
      <c r="X21" s="89"/>
      <c r="Y21" s="89"/>
      <c r="Z21" s="89"/>
      <c r="AA21" s="90"/>
      <c r="AB21" s="88" t="str">
        <f>"S"&amp;_xlfn.ISOWEEKNUM(AB23)</f>
        <v>S47</v>
      </c>
      <c r="AC21" s="89"/>
      <c r="AD21" s="89"/>
      <c r="AE21" s="89"/>
      <c r="AF21" s="89"/>
      <c r="AG21" s="89"/>
      <c r="AH21" s="90"/>
      <c r="AI21" s="91" t="str">
        <f>"S"&amp;_xlfn.ISOWEEKNUM(AI23)</f>
        <v>S48</v>
      </c>
      <c r="AJ21" s="92"/>
      <c r="AK21" s="93"/>
      <c r="AL21" s="285"/>
      <c r="AM21" s="285"/>
      <c r="AN21" s="285"/>
      <c r="AO21" s="286"/>
    </row>
    <row r="22" spans="1:41" ht="34.5" customHeight="1" thickTop="1" thickBot="1" x14ac:dyDescent="0.3">
      <c r="A22" s="287"/>
      <c r="B22" s="288"/>
      <c r="C22" s="288"/>
      <c r="D22" s="288"/>
      <c r="E22" s="288"/>
      <c r="F22" s="289"/>
      <c r="G22" s="94" t="str">
        <f>TEXT(G23,"jjj")</f>
        <v>lun</v>
      </c>
      <c r="H22" s="94" t="str">
        <f>TEXT(H23,"jjj")</f>
        <v>mar</v>
      </c>
      <c r="I22" s="94" t="str">
        <f t="shared" ref="I22:AK22" si="0">TEXT(I23,"jjj")</f>
        <v>mer</v>
      </c>
      <c r="J22" s="94" t="str">
        <f t="shared" si="0"/>
        <v>jeu</v>
      </c>
      <c r="K22" s="94" t="str">
        <f t="shared" si="0"/>
        <v>ven</v>
      </c>
      <c r="L22" s="94" t="str">
        <f t="shared" si="0"/>
        <v>sam</v>
      </c>
      <c r="M22" s="95" t="str">
        <f t="shared" si="0"/>
        <v>dim</v>
      </c>
      <c r="N22" s="96" t="str">
        <f t="shared" si="0"/>
        <v>lun</v>
      </c>
      <c r="O22" s="94" t="str">
        <f t="shared" si="0"/>
        <v>mar</v>
      </c>
      <c r="P22" s="94" t="str">
        <f t="shared" si="0"/>
        <v>mer</v>
      </c>
      <c r="Q22" s="94" t="str">
        <f t="shared" si="0"/>
        <v>jeu</v>
      </c>
      <c r="R22" s="94" t="str">
        <f t="shared" si="0"/>
        <v>ven</v>
      </c>
      <c r="S22" s="94" t="str">
        <f t="shared" si="0"/>
        <v>sam</v>
      </c>
      <c r="T22" s="95" t="str">
        <f t="shared" si="0"/>
        <v>dim</v>
      </c>
      <c r="U22" s="94" t="str">
        <f t="shared" si="0"/>
        <v>lun</v>
      </c>
      <c r="V22" s="94" t="str">
        <f t="shared" si="0"/>
        <v>mar</v>
      </c>
      <c r="W22" s="94" t="str">
        <f t="shared" si="0"/>
        <v>mer</v>
      </c>
      <c r="X22" s="94" t="str">
        <f t="shared" si="0"/>
        <v>jeu</v>
      </c>
      <c r="Y22" s="94" t="str">
        <f t="shared" si="0"/>
        <v>ven</v>
      </c>
      <c r="Z22" s="94" t="str">
        <f t="shared" si="0"/>
        <v>sam</v>
      </c>
      <c r="AA22" s="95" t="str">
        <f t="shared" si="0"/>
        <v>dim</v>
      </c>
      <c r="AB22" s="94" t="str">
        <f t="shared" si="0"/>
        <v>lun</v>
      </c>
      <c r="AC22" s="94" t="str">
        <f t="shared" si="0"/>
        <v>mar</v>
      </c>
      <c r="AD22" s="94" t="str">
        <f t="shared" si="0"/>
        <v>mer</v>
      </c>
      <c r="AE22" s="94" t="str">
        <f t="shared" si="0"/>
        <v>jeu</v>
      </c>
      <c r="AF22" s="94" t="str">
        <f t="shared" si="0"/>
        <v>ven</v>
      </c>
      <c r="AG22" s="94" t="str">
        <f t="shared" si="0"/>
        <v>sam</v>
      </c>
      <c r="AH22" s="95" t="str">
        <f t="shared" si="0"/>
        <v>dim</v>
      </c>
      <c r="AI22" s="96" t="str">
        <f t="shared" si="0"/>
        <v>lun</v>
      </c>
      <c r="AJ22" s="94" t="str">
        <f t="shared" si="0"/>
        <v>mar</v>
      </c>
      <c r="AK22" s="97" t="str">
        <f t="shared" si="0"/>
        <v>mer</v>
      </c>
      <c r="AL22" s="292"/>
      <c r="AM22" s="292"/>
      <c r="AN22" s="292"/>
      <c r="AO22" s="293"/>
    </row>
    <row r="23" spans="1:41" ht="15.75" customHeight="1" thickTop="1" thickBot="1" x14ac:dyDescent="0.3">
      <c r="A23" s="98" t="s">
        <v>49</v>
      </c>
      <c r="B23" s="98" t="s">
        <v>50</v>
      </c>
      <c r="C23" s="98" t="s">
        <v>51</v>
      </c>
      <c r="D23" s="98" t="s">
        <v>52</v>
      </c>
      <c r="E23" s="98" t="s">
        <v>53</v>
      </c>
      <c r="F23" s="99" t="s">
        <v>54</v>
      </c>
      <c r="G23" s="100">
        <f>R20</f>
        <v>44865</v>
      </c>
      <c r="H23" s="100">
        <f t="shared" ref="H23:AK23" si="1">IF(G23&gt;=$Z$20,"",G23+1)</f>
        <v>44866</v>
      </c>
      <c r="I23" s="100">
        <f t="shared" si="1"/>
        <v>44867</v>
      </c>
      <c r="J23" s="100">
        <f t="shared" si="1"/>
        <v>44868</v>
      </c>
      <c r="K23" s="100">
        <f t="shared" si="1"/>
        <v>44869</v>
      </c>
      <c r="L23" s="100">
        <f t="shared" si="1"/>
        <v>44870</v>
      </c>
      <c r="M23" s="101">
        <f t="shared" si="1"/>
        <v>44871</v>
      </c>
      <c r="N23" s="100">
        <f t="shared" si="1"/>
        <v>44872</v>
      </c>
      <c r="O23" s="100">
        <f t="shared" si="1"/>
        <v>44873</v>
      </c>
      <c r="P23" s="100">
        <f t="shared" si="1"/>
        <v>44874</v>
      </c>
      <c r="Q23" s="100">
        <f t="shared" si="1"/>
        <v>44875</v>
      </c>
      <c r="R23" s="100">
        <f t="shared" si="1"/>
        <v>44876</v>
      </c>
      <c r="S23" s="100">
        <f t="shared" si="1"/>
        <v>44877</v>
      </c>
      <c r="T23" s="101">
        <f t="shared" si="1"/>
        <v>44878</v>
      </c>
      <c r="U23" s="100">
        <f t="shared" si="1"/>
        <v>44879</v>
      </c>
      <c r="V23" s="100">
        <f t="shared" si="1"/>
        <v>44880</v>
      </c>
      <c r="W23" s="100">
        <f t="shared" si="1"/>
        <v>44881</v>
      </c>
      <c r="X23" s="100">
        <f t="shared" si="1"/>
        <v>44882</v>
      </c>
      <c r="Y23" s="100">
        <f t="shared" si="1"/>
        <v>44883</v>
      </c>
      <c r="Z23" s="100">
        <f t="shared" si="1"/>
        <v>44884</v>
      </c>
      <c r="AA23" s="101">
        <f t="shared" si="1"/>
        <v>44885</v>
      </c>
      <c r="AB23" s="100">
        <f t="shared" si="1"/>
        <v>44886</v>
      </c>
      <c r="AC23" s="100">
        <f t="shared" si="1"/>
        <v>44887</v>
      </c>
      <c r="AD23" s="100">
        <f t="shared" si="1"/>
        <v>44888</v>
      </c>
      <c r="AE23" s="100">
        <f t="shared" si="1"/>
        <v>44889</v>
      </c>
      <c r="AF23" s="100">
        <f t="shared" si="1"/>
        <v>44890</v>
      </c>
      <c r="AG23" s="100">
        <f t="shared" si="1"/>
        <v>44891</v>
      </c>
      <c r="AH23" s="101">
        <f t="shared" si="1"/>
        <v>44892</v>
      </c>
      <c r="AI23" s="102">
        <f t="shared" si="1"/>
        <v>44893</v>
      </c>
      <c r="AJ23" s="100">
        <f t="shared" si="1"/>
        <v>44894</v>
      </c>
      <c r="AK23" s="103">
        <f t="shared" si="1"/>
        <v>44895</v>
      </c>
      <c r="AL23" s="104" t="s">
        <v>55</v>
      </c>
      <c r="AM23" s="105" t="s">
        <v>56</v>
      </c>
      <c r="AN23" s="105" t="s">
        <v>57</v>
      </c>
      <c r="AO23" s="106" t="s">
        <v>58</v>
      </c>
    </row>
    <row r="24" spans="1:41" s="116" customFormat="1" ht="15" customHeight="1" thickTop="1" x14ac:dyDescent="0.25">
      <c r="A24" s="107">
        <v>1</v>
      </c>
      <c r="B24" s="108" t="str">
        <f>+[1]Offday!B3</f>
        <v>ZANOU Steven Renaud</v>
      </c>
      <c r="C24" s="109">
        <f>+[1]Offday!C3</f>
        <v>0.29166666666666669</v>
      </c>
      <c r="D24" s="109">
        <f>+[1]Offday!D3</f>
        <v>0.29166666666666669</v>
      </c>
      <c r="E24" s="109">
        <f>+[1]Offday!E3</f>
        <v>0.5</v>
      </c>
      <c r="F24" s="110">
        <f>+[1]Offday!F3</f>
        <v>0.375</v>
      </c>
      <c r="G24" s="111">
        <f>IF(VLOOKUP($A24,[1]Offday!$A$2:$AK$18,MATCH('Planning-'!G$23,[1]Offday!$A$2:$AO$2,0))=0,$E24,VLOOKUP($A24,[1]Offday!$A$2:$AK$18,MATCH('Planning-'!G$23,[1]Offday!$A$2:$AO$2,0)))</f>
        <v>0.5</v>
      </c>
      <c r="H24" s="111">
        <f>IF(VLOOKUP($A24,[1]Offday!$A$2:$AK$18,MATCH('Planning-'!H$23,[1]Offday!$A$2:$AO$2,0))=0,$C24,VLOOKUP($A24,[1]Offday!$A$2:$AK$18,MATCH('Planning-'!H$23,[1]Offday!$A$2:$AO$2,0)))</f>
        <v>0.29166666666666669</v>
      </c>
      <c r="I24" s="111">
        <f>IF(VLOOKUP($A24,[1]Offday!$A$2:$AK$18,MATCH('Planning-'!I$23,[1]Offday!$A$2:$AO$2,0))=0,$E24,VLOOKUP($A24,[1]Offday!$A$2:$AK$18,MATCH('Planning-'!I$23,[1]Offday!$A$2:$AO$2,0)))</f>
        <v>0.5</v>
      </c>
      <c r="J24" s="111">
        <f>IF(VLOOKUP($A24,[1]Offday!$A$2:$AK$18,MATCH('Planning-'!J$23,[1]Offday!$A$2:$AO$2,0))=0,$E24,VLOOKUP($A24,[1]Offday!$A$2:$AK$18,MATCH('Planning-'!J$23,[1]Offday!$A$2:$AO$2,0)))</f>
        <v>0.5</v>
      </c>
      <c r="K24" s="111" t="str">
        <f>IF(VLOOKUP($A24,[1]Offday!$A$2:$AK$18,MATCH('Planning-'!K$23,[1]Offday!$A$2:$AO$2,0))=0,$E24,VLOOKUP($A24,[1]Offday!$A$2:$AK$18,MATCH('Planning-'!K$23,[1]Offday!$A$2:$AO$2,0)))</f>
        <v>O</v>
      </c>
      <c r="L24" s="111">
        <f>IF(VLOOKUP($A24,[1]Offday!$A$2:$AK$18,MATCH('Planning-'!L$23,[1]Offday!$A$2:$AO$2,0))=0,$F24,VLOOKUP($A24,[1]Offday!$A$2:$AK$18,MATCH('Planning-'!L$23,[1]Offday!$A$2:$AO$2,0)))</f>
        <v>0.375</v>
      </c>
      <c r="M24" s="112" t="str">
        <f>IF(VLOOKUP($A24,[1]Offday!$A$2:$AK$18,MATCH('Planning-'!M$23,[1]Offday!$A$2:$AO$2,0))=0,$C24,VLOOKUP($A24,[1]Offday!$A$2:$AK$18,MATCH('Planning-'!M$23,[1]Offday!$A$2:$AO$2,0)))</f>
        <v>O</v>
      </c>
      <c r="N24" s="111">
        <f>IF(VLOOKUP($A24,[1]Offday!$A$2:$AK$18,MATCH('Planning-'!N$23,[1]Offday!$A$2:$AO$2,0))=0,$C24,VLOOKUP($A24,[1]Offday!$A$2:$AK$18,MATCH('Planning-'!N$23,[1]Offday!$A$2:$AO$2,0)))</f>
        <v>0.29166666666666669</v>
      </c>
      <c r="O24" s="111">
        <f>IF(VLOOKUP($A24,[1]Offday!$A$2:$AK$18,MATCH('Planning-'!O$23,[1]Offday!$A$2:$AO$2,0))=0,$C24,VLOOKUP($A24,[1]Offday!$A$2:$AK$18,MATCH('Planning-'!O$23,[1]Offday!$A$2:$AO$2,0)))</f>
        <v>0.29166666666666669</v>
      </c>
      <c r="P24" s="111">
        <f>IF(VLOOKUP($A24,[1]Offday!$A$2:$AK$18,MATCH('Planning-'!P$23,[1]Offday!$A$2:$AO$2,0))=0,$C24,VLOOKUP($A24,[1]Offday!$A$2:$AK$18,MATCH('Planning-'!P$23,[1]Offday!$A$2:$AO$2,0)))</f>
        <v>0.29166666666666669</v>
      </c>
      <c r="Q24" s="111" t="str">
        <f>IF(VLOOKUP($A24,[1]Offday!$A$2:$AK$18,MATCH('Planning-'!Q$23,[1]Offday!$A$2:$AO$2,0))=0,$E24,VLOOKUP($A24,[1]Offday!$A$2:$AK$18,MATCH('Planning-'!Q$23,[1]Offday!$A$2:$AO$2,0)))</f>
        <v>O</v>
      </c>
      <c r="R24" s="111">
        <f>IF(VLOOKUP($A24,[1]Offday!$A$2:$AK$18,MATCH('Planning-'!R$23,[1]Offday!$A$2:$AO$2,0))=0,$E24,VLOOKUP($A24,[1]Offday!$A$2:$AK$18,MATCH('Planning-'!R$23,[1]Offday!$A$2:$AO$2,0)))</f>
        <v>0.5</v>
      </c>
      <c r="S24" s="111" t="str">
        <f>IF(VLOOKUP($A24,[1]Offday!$A$2:$AK$18,MATCH('Planning-'!S$23,[1]Offday!$A$2:$AO$2,0))=0,$F24,VLOOKUP($A24,[1]Offday!$A$2:$AK$18,MATCH('Planning-'!S$23,[1]Offday!$A$2:$AO$2,0)))</f>
        <v>O</v>
      </c>
      <c r="T24" s="112">
        <f>IF(VLOOKUP($A24,[1]Offday!$A$2:$AK$18,MATCH('Planning-'!T$23,[1]Offday!$A$2:$AO$2,0))=0,$E24,VLOOKUP($A24,[1]Offday!$A$2:$AK$18,MATCH('Planning-'!T$23,[1]Offday!$A$2:$AO$2,0)))</f>
        <v>0.5</v>
      </c>
      <c r="U24" s="111">
        <f>IF(VLOOKUP($A24,[1]Offday!$A$2:$AK$18,MATCH('Planning-'!U$23,[1]Offday!$A$2:$AO$2,0))=0,$C24,VLOOKUP($A24,[1]Offday!$A$2:$AK$18,MATCH('Planning-'!U$23,[1]Offday!$A$2:$AO$2,0)))</f>
        <v>0.29166666666666669</v>
      </c>
      <c r="V24" s="111">
        <f>IF(VLOOKUP($A24,[1]Offday!$A$2:$AK$18,MATCH('Planning-'!V$23,[1]Offday!$A$2:$AO$2,0))=0,$C24,VLOOKUP($A24,[1]Offday!$A$2:$AK$18,MATCH('Planning-'!V$23,[1]Offday!$A$2:$AO$2,0)))</f>
        <v>0.29166666666666669</v>
      </c>
      <c r="W24" s="111">
        <f>IF(VLOOKUP($A24,[1]Offday!$A$2:$AK$18,MATCH('Planning-'!W$23,[1]Offday!$A$2:$AO$2,0))=0,$C24,VLOOKUP($A24,[1]Offday!$A$2:$AK$18,MATCH('Planning-'!W$23,[1]Offday!$A$2:$AO$2,0)))</f>
        <v>0.29166666666666669</v>
      </c>
      <c r="X24" s="111">
        <f>IF(VLOOKUP($A24,[1]Offday!$A$2:$AK$18,MATCH('Planning-'!X$23,[1]Offday!$A$2:$AO$2,0))=0,$E24,VLOOKUP($A24,[1]Offday!$A$2:$AK$18,MATCH('Planning-'!X$23,[1]Offday!$A$2:$AO$2,0)))</f>
        <v>0.5</v>
      </c>
      <c r="Y24" s="111">
        <f>IF(VLOOKUP($A24,[1]Offday!$A$2:$AK$18,MATCH('Planning-'!Y$23,[1]Offday!$A$2:$AO$2,0))=0,$E24,VLOOKUP($A24,[1]Offday!$A$2:$AK$18,MATCH('Planning-'!Y$23,[1]Offday!$A$2:$AO$2,0)))</f>
        <v>0.5</v>
      </c>
      <c r="Z24" s="111">
        <f>IF(VLOOKUP($A24,[1]Offday!$A$2:$AK$18,MATCH('Planning-'!Z$23,[1]Offday!$A$2:$AO$2,0))=0,$F24,VLOOKUP($A24,[1]Offday!$A$2:$AK$18,MATCH('Planning-'!Z$23,[1]Offday!$A$2:$AO$2,0)))</f>
        <v>0.375</v>
      </c>
      <c r="AA24" s="112">
        <f>IF(VLOOKUP($A24,[1]Offday!$A$2:$AK$18,MATCH('Planning-'!AA$23,[1]Offday!$A$2:$AO$2,0))=0,$F24,VLOOKUP($A24,[1]Offday!$A$2:$AK$18,MATCH('Planning-'!AA$23,[1]Offday!$A$2:$AO$2,0)))</f>
        <v>0.375</v>
      </c>
      <c r="AB24" s="111">
        <f>IF(VLOOKUP($A24,[1]Offday!$A$2:$AK$18,MATCH('Planning-'!AB$23,[1]Offday!$A$2:$AO$2,0))=0,$C24,VLOOKUP($A24,[1]Offday!$A$2:$AK$18,MATCH('Planning-'!AB$23,[1]Offday!$A$2:$AO$2,0)))</f>
        <v>0.29166666666666669</v>
      </c>
      <c r="AC24" s="111">
        <f>IF(VLOOKUP($A24,[1]Offday!$A$2:$AK$18,MATCH('Planning-'!AC$23,[1]Offday!$A$2:$AO$2,0))=0,$C24,VLOOKUP($A24,[1]Offday!$A$2:$AK$18,MATCH('Planning-'!AC$23,[1]Offday!$A$2:$AO$2,0)))</f>
        <v>0.29166666666666669</v>
      </c>
      <c r="AD24" s="111">
        <f>IF(VLOOKUP($A24,[1]Offday!$A$2:$AK$18,MATCH('Planning-'!AD$23,[1]Offday!$A$2:$AO$2,0))=0,$C24,VLOOKUP($A24,[1]Offday!$A$2:$AK$18,MATCH('Planning-'!AD$23,[1]Offday!$A$2:$AO$2,0)))</f>
        <v>0.29166666666666669</v>
      </c>
      <c r="AE24" s="111">
        <f>IF(VLOOKUP($A24,[1]Offday!$A$2:$AK$18,MATCH('Planning-'!AE$23,[1]Offday!$A$2:$AO$2,0))=0,$E24,VLOOKUP($A24,[1]Offday!$A$2:$AK$18,MATCH('Planning-'!AE$23,[1]Offday!$A$2:$AO$2,0)))</f>
        <v>0.5</v>
      </c>
      <c r="AF24" s="111">
        <f>IF(VLOOKUP($A24,[1]Offday!$A$2:$AK$18,MATCH('Planning-'!AF$23,[1]Offday!$A$2:$AO$2,0))=0,$E24,VLOOKUP($A24,[1]Offday!$A$2:$AK$18,MATCH('Planning-'!AF$23,[1]Offday!$A$2:$AO$2,0)))</f>
        <v>0.5</v>
      </c>
      <c r="AG24" s="111">
        <f>IF(VLOOKUP($A24,[1]Offday!$A$2:$AK$18,MATCH('Planning-'!AG$23,[1]Offday!$A$2:$AO$2,0))=0,$F24,VLOOKUP($A24,[1]Offday!$A$2:$AK$18,MATCH('Planning-'!AG$23,[1]Offday!$A$2:$AO$2,0)))</f>
        <v>0.375</v>
      </c>
      <c r="AH24" s="112">
        <f>IF(VLOOKUP($A24,[1]Offday!$A$2:$AK$18,MATCH('Planning-'!AH$23,[1]Offday!$A$2:$AO$2,0))=0,$F24,VLOOKUP($A24,[1]Offday!$A$2:$AK$18,MATCH('Planning-'!AH$23,[1]Offday!$A$2:$AO$2,0)))</f>
        <v>0.375</v>
      </c>
      <c r="AI24" s="111">
        <f>IF(VLOOKUP($A24,[1]Offday!$A$2:$AK$18,MATCH('Planning-'!AI$23,[1]Offday!$A$2:$AO$2,0))=0,$C24,VLOOKUP($A24,[1]Offday!$A$2:$AK$18,MATCH('Planning-'!AI$23,[1]Offday!$A$2:$AO$2,0)))</f>
        <v>0.29166666666666669</v>
      </c>
      <c r="AJ24" s="111">
        <f>IF(VLOOKUP($A24,[1]Offday!$A$2:$AK$18,MATCH('Planning-'!AJ$23,[1]Offday!$A$2:$AO$2,0))=0,$C24,VLOOKUP($A24,[1]Offday!$A$2:$AK$18,MATCH('Planning-'!AJ$23,[1]Offday!$A$2:$AO$2,0)))</f>
        <v>0.29166666666666669</v>
      </c>
      <c r="AK24" s="111">
        <f>IF(VLOOKUP($A24,[1]Offday!$A$2:$AK$18,MATCH('Planning-'!AK$23,[1]Offday!$A$2:$AO$2,0))=0,$C24,VLOOKUP($A24,[1]Offday!$A$2:$AK$18,MATCH('Planning-'!AK$23,[1]Offday!$A$2:$AO$2,0)))</f>
        <v>0.29166666666666669</v>
      </c>
      <c r="AL24" s="113">
        <f>COUNTIF($G24:$T24,"7:00")</f>
        <v>4</v>
      </c>
      <c r="AM24" s="114">
        <f>COUNTIF($G24:$T24,"9:00")</f>
        <v>1</v>
      </c>
      <c r="AN24" s="114">
        <f>COUNTIF($G24:$T24,"12:00")</f>
        <v>5</v>
      </c>
      <c r="AO24" s="115">
        <f>COUNTIF($G24:$T24,"O*")</f>
        <v>4</v>
      </c>
    </row>
    <row r="25" spans="1:41" s="116" customFormat="1" ht="15" customHeight="1" x14ac:dyDescent="0.25">
      <c r="A25" s="117">
        <v>2</v>
      </c>
      <c r="B25" s="108" t="str">
        <f>+[1]Offday!B4</f>
        <v>YAWO Komi Etsè A</v>
      </c>
      <c r="C25" s="118">
        <f>+[1]Offday!C4</f>
        <v>0.29166666666666669</v>
      </c>
      <c r="D25" s="118">
        <f>+[1]Offday!D4</f>
        <v>0.29166666666666669</v>
      </c>
      <c r="E25" s="118">
        <f>+[1]Offday!E4</f>
        <v>0.5</v>
      </c>
      <c r="F25" s="119">
        <f>+[1]Offday!F4</f>
        <v>0.375</v>
      </c>
      <c r="G25" s="111">
        <f>IF(VLOOKUP($A25,[1]Offday!$A$2:$AK$18,MATCH('Planning-'!G$23,[1]Offday!$A$2:$AO$2,0))=0,$C25,VLOOKUP($A25,[1]Offday!$A$2:$AK$18,MATCH('Planning-'!G$23,[1]Offday!$A$2:$AO$2,0)))</f>
        <v>0.29166666666666669</v>
      </c>
      <c r="H25" s="111">
        <f>IF(VLOOKUP($A25,[1]Offday!$A$2:$AK$18,MATCH('Planning-'!H$23,[1]Offday!$A$2:$AO$2,0))=0,$C25,VLOOKUP($A25,[1]Offday!$A$2:$AK$18,MATCH('Planning-'!H$23,[1]Offday!$A$2:$AO$2,0)))</f>
        <v>0.29166666666666669</v>
      </c>
      <c r="I25" s="111">
        <f>IF(VLOOKUP($A25,[1]Offday!$A$2:$AK$18,MATCH('Planning-'!I$23,[1]Offday!$A$2:$AO$2,0))=0,$C25,VLOOKUP($A25,[1]Offday!$A$2:$AK$18,MATCH('Planning-'!I$23,[1]Offday!$A$2:$AO$2,0)))</f>
        <v>0.29166666666666669</v>
      </c>
      <c r="J25" s="111" t="str">
        <f>IF(VLOOKUP($A25,[1]Offday!$A$2:$AK$18,MATCH('Planning-'!J$23,[1]Offday!$A$2:$AO$2,0))=0,$E25,VLOOKUP($A25,[1]Offday!$A$2:$AK$18,MATCH('Planning-'!J$23,[1]Offday!$A$2:$AO$2,0)))</f>
        <v>O</v>
      </c>
      <c r="K25" s="111">
        <f>IF(VLOOKUP($A25,[1]Offday!$A$2:$AK$18,MATCH('Planning-'!K$23,[1]Offday!$A$2:$AO$2,0))=0,$E25,VLOOKUP($A25,[1]Offday!$A$2:$AK$18,MATCH('Planning-'!K$23,[1]Offday!$A$2:$AO$2,0)))</f>
        <v>0.5</v>
      </c>
      <c r="L25" s="111">
        <f>IF(VLOOKUP($A25,[1]Offday!$A$2:$AK$18,MATCH('Planning-'!L$23,[1]Offday!$A$2:$AO$2,0))=0,$E25,VLOOKUP($A25,[1]Offday!$A$2:$AK$18,MATCH('Planning-'!L$23,[1]Offday!$A$2:$AO$2,0)))</f>
        <v>0.5</v>
      </c>
      <c r="M25" s="120" t="str">
        <f>IF(VLOOKUP($A25,[1]Offday!$A$2:$AK$18,MATCH('Planning-'!M$23,[1]Offday!$A$2:$AO$2,0))=0,$C25,VLOOKUP($A25,[1]Offday!$A$2:$AK$18,MATCH('Planning-'!M$23,[1]Offday!$A$2:$AO$2,0)))</f>
        <v>O</v>
      </c>
      <c r="N25" s="111">
        <f>IF(VLOOKUP($A25,[1]Offday!$A$2:$AK$18,MATCH('Planning-'!N$23,[1]Offday!$A$2:$AO$2,0))=0,$C25,VLOOKUP($A25,[1]Offday!$A$2:$AK$18,MATCH('Planning-'!N$23,[1]Offday!$A$2:$AO$2,0)))</f>
        <v>0.29166666666666669</v>
      </c>
      <c r="O25" s="111" t="str">
        <f>IF(VLOOKUP($A25,[1]Offday!$A$2:$AK$18,MATCH('Planning-'!O$23,[1]Offday!$A$2:$AO$2,0))=0,$C25,VLOOKUP($A25,[1]Offday!$A$2:$AK$18,MATCH('Planning-'!O$23,[1]Offday!$A$2:$AO$2,0)))</f>
        <v>O</v>
      </c>
      <c r="P25" s="111">
        <f>IF(VLOOKUP($A25,[1]Offday!$A$2:$AK$18,MATCH('Planning-'!P$23,[1]Offday!$A$2:$AO$2,0))=0,$F25,VLOOKUP($A25,[1]Offday!$A$2:$AK$18,MATCH('Planning-'!P$23,[1]Offday!$A$2:$AO$2,0)))</f>
        <v>0.375</v>
      </c>
      <c r="Q25" s="111" t="str">
        <f>IF(VLOOKUP($A25,[1]Offday!$A$2:$AK$18,MATCH('Planning-'!Q$23,[1]Offday!$A$2:$AO$2,0))=0,$E25,VLOOKUP($A25,[1]Offday!$A$2:$AK$18,MATCH('Planning-'!Q$23,[1]Offday!$A$2:$AO$2,0)))</f>
        <v>O</v>
      </c>
      <c r="R25" s="111">
        <f>IF(VLOOKUP($A25,[1]Offday!$A$2:$AK$18,MATCH('Planning-'!R$23,[1]Offday!$A$2:$AO$2,0))=0,$E25,VLOOKUP($A25,[1]Offday!$A$2:$AK$18,MATCH('Planning-'!R$23,[1]Offday!$A$2:$AO$2,0)))</f>
        <v>0.5</v>
      </c>
      <c r="S25" s="111">
        <f>IF(VLOOKUP($A25,[1]Offday!$A$2:$AK$18,MATCH('Planning-'!S$23,[1]Offday!$A$2:$AO$2,0))=0,$E25,VLOOKUP($A25,[1]Offday!$A$2:$AK$18,MATCH('Planning-'!S$23,[1]Offday!$A$2:$AO$2,0)))</f>
        <v>0.5</v>
      </c>
      <c r="T25" s="120">
        <f>IF(VLOOKUP($A25,[1]Offday!$A$2:$AK$18,MATCH('Planning-'!T$23,[1]Offday!$A$2:$AO$2,0))=0,$C25,VLOOKUP($A25,[1]Offday!$A$2:$AK$18,MATCH('Planning-'!T$23,[1]Offday!$A$2:$AO$2,0)))</f>
        <v>0.29166666666666669</v>
      </c>
      <c r="U25" s="111">
        <f>IF(VLOOKUP($A25,[1]Offday!$A$2:$AK$18,MATCH('Planning-'!U$23,[1]Offday!$A$2:$AO$2,0))=0,$C25,VLOOKUP($A25,[1]Offday!$A$2:$AK$18,MATCH('Planning-'!U$23,[1]Offday!$A$2:$AO$2,0)))</f>
        <v>0.29166666666666669</v>
      </c>
      <c r="V25" s="111">
        <f>IF(VLOOKUP($A25,[1]Offday!$A$2:$AK$18,MATCH('Planning-'!V$23,[1]Offday!$A$2:$AO$2,0))=0,$C25,VLOOKUP($A25,[1]Offday!$A$2:$AK$18,MATCH('Planning-'!V$23,[1]Offday!$A$2:$AO$2,0)))</f>
        <v>0.29166666666666669</v>
      </c>
      <c r="W25" s="111">
        <f>IF(VLOOKUP($A25,[1]Offday!$A$2:$AK$18,MATCH('Planning-'!W$23,[1]Offday!$A$2:$AO$2,0))=0,$C25,VLOOKUP($A25,[1]Offday!$A$2:$AK$18,MATCH('Planning-'!W$23,[1]Offday!$A$2:$AO$2,0)))</f>
        <v>0.29166666666666669</v>
      </c>
      <c r="X25" s="111">
        <f>IF(VLOOKUP($A25,[1]Offday!$A$2:$AK$18,MATCH('Planning-'!X$23,[1]Offday!$A$2:$AO$2,0))=0,$E25,VLOOKUP($A25,[1]Offday!$A$2:$AK$18,MATCH('Planning-'!X$23,[1]Offday!$A$2:$AO$2,0)))</f>
        <v>0.5</v>
      </c>
      <c r="Y25" s="111">
        <f>IF(VLOOKUP($A25,[1]Offday!$A$2:$AK$18,MATCH('Planning-'!Y$23,[1]Offday!$A$2:$AO$2,0))=0,$E25,VLOOKUP($A25,[1]Offday!$A$2:$AK$18,MATCH('Planning-'!Y$23,[1]Offday!$A$2:$AO$2,0)))</f>
        <v>0.5</v>
      </c>
      <c r="Z25" s="111">
        <f>IF(VLOOKUP($A25,[1]Offday!$A$2:$AK$18,MATCH('Planning-'!Z$23,[1]Offday!$A$2:$AO$2,0))=0,$F25,VLOOKUP($A25,[1]Offday!$A$2:$AK$18,MATCH('Planning-'!Z$23,[1]Offday!$A$2:$AO$2,0)))</f>
        <v>0.375</v>
      </c>
      <c r="AA25" s="120">
        <f>IF(VLOOKUP($A25,[1]Offday!$A$2:$AK$18,MATCH('Planning-'!AA$23,[1]Offday!$A$2:$AO$2,0))=0,$F25,VLOOKUP($A25,[1]Offday!$A$2:$AK$18,MATCH('Planning-'!AA$23,[1]Offday!$A$2:$AO$2,0)))</f>
        <v>0.375</v>
      </c>
      <c r="AB25" s="111">
        <f>IF(VLOOKUP($A25,[1]Offday!$A$2:$AK$18,MATCH('Planning-'!AB$23,[1]Offday!$A$2:$AO$2,0))=0,$C25,VLOOKUP($A25,[1]Offday!$A$2:$AK$18,MATCH('Planning-'!AB$23,[1]Offday!$A$2:$AO$2,0)))</f>
        <v>0.29166666666666669</v>
      </c>
      <c r="AC25" s="111">
        <f>IF(VLOOKUP($A25,[1]Offday!$A$2:$AK$18,MATCH('Planning-'!AC$23,[1]Offday!$A$2:$AO$2,0))=0,$C25,VLOOKUP($A25,[1]Offday!$A$2:$AK$18,MATCH('Planning-'!AC$23,[1]Offday!$A$2:$AO$2,0)))</f>
        <v>0.29166666666666669</v>
      </c>
      <c r="AD25" s="111">
        <f>IF(VLOOKUP($A25,[1]Offday!$A$2:$AK$18,MATCH('Planning-'!AD$23,[1]Offday!$A$2:$AO$2,0))=0,$C25,VLOOKUP($A25,[1]Offday!$A$2:$AK$18,MATCH('Planning-'!AD$23,[1]Offday!$A$2:$AO$2,0)))</f>
        <v>0.29166666666666669</v>
      </c>
      <c r="AE25" s="111">
        <f>IF(VLOOKUP($A25,[1]Offday!$A$2:$AK$18,MATCH('Planning-'!AE$23,[1]Offday!$A$2:$AO$2,0))=0,$E25,VLOOKUP($A25,[1]Offday!$A$2:$AK$18,MATCH('Planning-'!AE$23,[1]Offday!$A$2:$AO$2,0)))</f>
        <v>0.5</v>
      </c>
      <c r="AF25" s="111">
        <f>IF(VLOOKUP($A25,[1]Offday!$A$2:$AK$18,MATCH('Planning-'!AF$23,[1]Offday!$A$2:$AO$2,0))=0,$E25,VLOOKUP($A25,[1]Offday!$A$2:$AK$18,MATCH('Planning-'!AF$23,[1]Offday!$A$2:$AO$2,0)))</f>
        <v>0.5</v>
      </c>
      <c r="AG25" s="111">
        <f>IF(VLOOKUP($A25,[1]Offday!$A$2:$AK$18,MATCH('Planning-'!AG$23,[1]Offday!$A$2:$AO$2,0))=0,$F25,VLOOKUP($A25,[1]Offday!$A$2:$AK$18,MATCH('Planning-'!AG$23,[1]Offday!$A$2:$AO$2,0)))</f>
        <v>0.375</v>
      </c>
      <c r="AH25" s="120">
        <f>IF(VLOOKUP($A25,[1]Offday!$A$2:$AK$18,MATCH('Planning-'!AH$23,[1]Offday!$A$2:$AO$2,0))=0,$F25,VLOOKUP($A25,[1]Offday!$A$2:$AK$18,MATCH('Planning-'!AH$23,[1]Offday!$A$2:$AO$2,0)))</f>
        <v>0.375</v>
      </c>
      <c r="AI25" s="111">
        <f>IF(VLOOKUP($A25,[1]Offday!$A$2:$AK$18,MATCH('Planning-'!AI$23,[1]Offday!$A$2:$AO$2,0))=0,$C25,VLOOKUP($A25,[1]Offday!$A$2:$AK$18,MATCH('Planning-'!AI$23,[1]Offday!$A$2:$AO$2,0)))</f>
        <v>0.29166666666666669</v>
      </c>
      <c r="AJ25" s="111">
        <f>IF(VLOOKUP($A25,[1]Offday!$A$2:$AK$18,MATCH('Planning-'!AJ$23,[1]Offday!$A$2:$AO$2,0))=0,$C25,VLOOKUP($A25,[1]Offday!$A$2:$AK$18,MATCH('Planning-'!AJ$23,[1]Offday!$A$2:$AO$2,0)))</f>
        <v>0.29166666666666669</v>
      </c>
      <c r="AK25" s="111">
        <f>IF(VLOOKUP($A25,[1]Offday!$A$2:$AK$18,MATCH('Planning-'!AK$23,[1]Offday!$A$2:$AO$2,0))=0,$C25,VLOOKUP($A25,[1]Offday!$A$2:$AK$18,MATCH('Planning-'!AK$23,[1]Offday!$A$2:$AO$2,0)))</f>
        <v>0.29166666666666669</v>
      </c>
      <c r="AL25" s="113">
        <f>COUNTIF($G25:$T25,"7:00")</f>
        <v>5</v>
      </c>
      <c r="AM25" s="114">
        <f t="shared" ref="AM25:AM36" si="2">COUNTIF($G25:$T25,"9:00")</f>
        <v>1</v>
      </c>
      <c r="AN25" s="114">
        <f t="shared" ref="AN25:AN36" si="3">COUNTIF($G25:$T25,"12:00")</f>
        <v>4</v>
      </c>
      <c r="AO25" s="115">
        <f>COUNTIF($G25:$T25,"O*")</f>
        <v>4</v>
      </c>
    </row>
    <row r="26" spans="1:41" s="116" customFormat="1" ht="15" customHeight="1" x14ac:dyDescent="0.25">
      <c r="A26" s="121">
        <v>3</v>
      </c>
      <c r="B26" s="108" t="str">
        <f>+[1]Offday!B5</f>
        <v>TIGOE Ahlonkoba Nadège</v>
      </c>
      <c r="C26" s="118">
        <f>+[1]Offday!C5</f>
        <v>0.29166666666666669</v>
      </c>
      <c r="D26" s="118">
        <f>+[1]Offday!D5</f>
        <v>0.29166666666666669</v>
      </c>
      <c r="E26" s="118">
        <f>+[1]Offday!E5</f>
        <v>0.375</v>
      </c>
      <c r="F26" s="119">
        <f>+[1]Offday!F5</f>
        <v>0.5</v>
      </c>
      <c r="G26" s="111" t="str">
        <f>IF(VLOOKUP($A26,[1]Offday!$A$2:$AK$18,MATCH('Planning-'!G$23,[1]Offday!$A$2:$AO$2,0))=0,$C26,VLOOKUP($A26,[1]Offday!$A$2:$AK$18,MATCH('Planning-'!G$23,[1]Offday!$A$2:$AO$2,0)))</f>
        <v>O</v>
      </c>
      <c r="H26" s="111">
        <f>IF(VLOOKUP($A26,[1]Offday!$A$2:$AK$18,MATCH('Planning-'!H$23,[1]Offday!$A$2:$AO$2,0))=0,$C26,VLOOKUP($A26,[1]Offday!$A$2:$AK$18,MATCH('Planning-'!H$23,[1]Offday!$A$2:$AO$2,0)))</f>
        <v>0.29166666666666669</v>
      </c>
      <c r="I26" s="111">
        <f>IF(VLOOKUP($A26,[1]Offday!$A$2:$AK$18,MATCH('Planning-'!I$23,[1]Offday!$A$2:$AO$2,0))=0,$C26,VLOOKUP($A26,[1]Offday!$A$2:$AK$18,MATCH('Planning-'!I$23,[1]Offday!$A$2:$AO$2,0)))</f>
        <v>0.29166666666666669</v>
      </c>
      <c r="J26" s="111">
        <f>IF(VLOOKUP($A26,[1]Offday!$A$2:$AK$18,MATCH('Planning-'!J$23,[1]Offday!$A$2:$AO$2,0))=0,$F26,VLOOKUP($A26,[1]Offday!$A$2:$AK$18,MATCH('Planning-'!J$23,[1]Offday!$A$2:$AO$2,0)))</f>
        <v>0.5</v>
      </c>
      <c r="K26" s="111">
        <f>IF(VLOOKUP($A26,[1]Offday!$A$2:$AK$18,MATCH('Planning-'!K$23,[1]Offday!$A$2:$AO$2,0))=0,$E26,VLOOKUP($A26,[1]Offday!$A$2:$AK$18,MATCH('Planning-'!K$23,[1]Offday!$A$2:$AO$2,0)))</f>
        <v>0.375</v>
      </c>
      <c r="L26" s="111">
        <f>IF(VLOOKUP($A26,[1]Offday!$A$2:$AK$18,MATCH('Planning-'!L$23,[1]Offday!$A$2:$AO$2,0))=0,$C26,VLOOKUP($A26,[1]Offday!$A$2:$AK$18,MATCH('Planning-'!L$23,[1]Offday!$A$2:$AO$2,0)))</f>
        <v>0.29166666666666669</v>
      </c>
      <c r="M26" s="120" t="str">
        <f>IF(VLOOKUP($A26,[1]Offday!$A$2:$AK$18,MATCH('Planning-'!M$23,[1]Offday!$A$2:$AO$2,0))=0,$F26,VLOOKUP($A26,[1]Offday!$A$2:$AK$18,MATCH('Planning-'!M$23,[1]Offday!$A$2:$AO$2,0)))</f>
        <v>O</v>
      </c>
      <c r="N26" s="111">
        <f>IF(VLOOKUP($A26,[1]Offday!$A$2:$AK$18,MATCH('Planning-'!N$23,[1]Offday!$A$2:$AO$2,0))=0,$C26,VLOOKUP($A26,[1]Offday!$A$2:$AK$18,MATCH('Planning-'!N$23,[1]Offday!$A$2:$AO$2,0)))</f>
        <v>0.29166666666666669</v>
      </c>
      <c r="O26" s="111">
        <f>IF(VLOOKUP($A26,[1]Offday!$A$2:$AK$18,MATCH('Planning-'!O$23,[1]Offday!$A$2:$AO$2,0))=0,$C26,VLOOKUP($A26,[1]Offday!$A$2:$AK$18,MATCH('Planning-'!O$23,[1]Offday!$A$2:$AO$2,0)))</f>
        <v>0.29166666666666669</v>
      </c>
      <c r="P26" s="111" t="str">
        <f>IF(VLOOKUP($A26,[1]Offday!$A$2:$AK$18,MATCH('Planning-'!P$23,[1]Offday!$A$2:$AO$2,0))=0,$C26,VLOOKUP($A26,[1]Offday!$A$2:$AK$18,MATCH('Planning-'!P$23,[1]Offday!$A$2:$AO$2,0)))</f>
        <v>O</v>
      </c>
      <c r="Q26" s="111">
        <f>IF(VLOOKUP($A26,[1]Offday!$A$2:$AK$18,MATCH('Planning-'!Q$23,[1]Offday!$A$2:$AO$2,0))=0,$F26,VLOOKUP($A26,[1]Offday!$A$2:$AK$18,MATCH('Planning-'!Q$23,[1]Offday!$A$2:$AO$2,0)))</f>
        <v>0.5</v>
      </c>
      <c r="R26" s="111">
        <f>IF(VLOOKUP($A26,[1]Offday!$A$2:$AK$18,MATCH('Planning-'!R$23,[1]Offday!$A$2:$AO$2,0))=0,$F26,VLOOKUP($A26,[1]Offday!$A$2:$AK$18,MATCH('Planning-'!R$23,[1]Offday!$A$2:$AO$2,0)))</f>
        <v>0.5</v>
      </c>
      <c r="S26" s="111" t="str">
        <f>IF(VLOOKUP($A26,[1]Offday!$A$2:$AK$18,MATCH('Planning-'!S$23,[1]Offday!$A$2:$AO$2,0))=0,$F26,VLOOKUP($A26,[1]Offday!$A$2:$AK$18,MATCH('Planning-'!S$23,[1]Offday!$A$2:$AO$2,0)))</f>
        <v>O</v>
      </c>
      <c r="T26" s="120">
        <f>IF(VLOOKUP($A26,[1]Offday!$A$2:$AK$18,MATCH('Planning-'!T$23,[1]Offday!$A$2:$AO$2,0))=0,$F26,VLOOKUP($A26,[1]Offday!$A$2:$AK$18,MATCH('Planning-'!T$23,[1]Offday!$A$2:$AO$2,0)))</f>
        <v>0.5</v>
      </c>
      <c r="U26" s="111">
        <f>IF(VLOOKUP($A26,[1]Offday!$A$2:$AK$18,MATCH('Planning-'!U$23,[1]Offday!$A$2:$AO$2,0))=0,$C26,VLOOKUP($A26,[1]Offday!$A$2:$AK$18,MATCH('Planning-'!U$23,[1]Offday!$A$2:$AO$2,0)))</f>
        <v>0.29166666666666669</v>
      </c>
      <c r="V26" s="111">
        <f>IF(VLOOKUP($A26,[1]Offday!$A$2:$AK$18,MATCH('Planning-'!V$23,[1]Offday!$A$2:$AO$2,0))=0,$C26,VLOOKUP($A26,[1]Offday!$A$2:$AK$18,MATCH('Planning-'!V$23,[1]Offday!$A$2:$AO$2,0)))</f>
        <v>0.29166666666666669</v>
      </c>
      <c r="W26" s="111">
        <f>IF(VLOOKUP($A26,[1]Offday!$A$2:$AK$18,MATCH('Planning-'!W$23,[1]Offday!$A$2:$AO$2,0))=0,$C26,VLOOKUP($A26,[1]Offday!$A$2:$AK$18,MATCH('Planning-'!W$23,[1]Offday!$A$2:$AO$2,0)))</f>
        <v>0.29166666666666669</v>
      </c>
      <c r="X26" s="111">
        <f>IF(VLOOKUP($A26,[1]Offday!$A$2:$AK$18,MATCH('Planning-'!X$23,[1]Offday!$A$2:$AO$2,0))=0,$E26,VLOOKUP($A26,[1]Offday!$A$2:$AK$18,MATCH('Planning-'!X$23,[1]Offday!$A$2:$AO$2,0)))</f>
        <v>0.375</v>
      </c>
      <c r="Y26" s="111">
        <f>IF(VLOOKUP($A26,[1]Offday!$A$2:$AK$18,MATCH('Planning-'!Y$23,[1]Offday!$A$2:$AO$2,0))=0,$E26,VLOOKUP($A26,[1]Offday!$A$2:$AK$18,MATCH('Planning-'!Y$23,[1]Offday!$A$2:$AO$2,0)))</f>
        <v>0.375</v>
      </c>
      <c r="Z26" s="111">
        <f>IF(VLOOKUP($A26,[1]Offday!$A$2:$AK$18,MATCH('Planning-'!Z$23,[1]Offday!$A$2:$AO$2,0))=0,$F26,VLOOKUP($A26,[1]Offday!$A$2:$AK$18,MATCH('Planning-'!Z$23,[1]Offday!$A$2:$AO$2,0)))</f>
        <v>0.5</v>
      </c>
      <c r="AA26" s="120">
        <f>IF(VLOOKUP($A26,[1]Offday!$A$2:$AK$18,MATCH('Planning-'!AA$23,[1]Offday!$A$2:$AO$2,0))=0,$F26,VLOOKUP($A26,[1]Offday!$A$2:$AK$18,MATCH('Planning-'!AA$23,[1]Offday!$A$2:$AO$2,0)))</f>
        <v>0.5</v>
      </c>
      <c r="AB26" s="111">
        <f>IF(VLOOKUP($A26,[1]Offday!$A$2:$AK$18,MATCH('Planning-'!AB$23,[1]Offday!$A$2:$AO$2,0))=0,$C26,VLOOKUP($A26,[1]Offday!$A$2:$AK$18,MATCH('Planning-'!AB$23,[1]Offday!$A$2:$AO$2,0)))</f>
        <v>0.29166666666666669</v>
      </c>
      <c r="AC26" s="111">
        <f>IF(VLOOKUP($A26,[1]Offday!$A$2:$AK$18,MATCH('Planning-'!AC$23,[1]Offday!$A$2:$AO$2,0))=0,$C26,VLOOKUP($A26,[1]Offday!$A$2:$AK$18,MATCH('Planning-'!AC$23,[1]Offday!$A$2:$AO$2,0)))</f>
        <v>0.29166666666666669</v>
      </c>
      <c r="AD26" s="111">
        <f>IF(VLOOKUP($A26,[1]Offday!$A$2:$AK$18,MATCH('Planning-'!AD$23,[1]Offday!$A$2:$AO$2,0))=0,$C26,VLOOKUP($A26,[1]Offday!$A$2:$AK$18,MATCH('Planning-'!AD$23,[1]Offday!$A$2:$AO$2,0)))</f>
        <v>0.29166666666666669</v>
      </c>
      <c r="AE26" s="111">
        <f>IF(VLOOKUP($A26,[1]Offday!$A$2:$AK$18,MATCH('Planning-'!AE$23,[1]Offday!$A$2:$AO$2,0))=0,$E26,VLOOKUP($A26,[1]Offday!$A$2:$AK$18,MATCH('Planning-'!AE$23,[1]Offday!$A$2:$AO$2,0)))</f>
        <v>0.375</v>
      </c>
      <c r="AF26" s="111">
        <f>IF(VLOOKUP($A26,[1]Offday!$A$2:$AK$18,MATCH('Planning-'!AF$23,[1]Offday!$A$2:$AO$2,0))=0,$E26,VLOOKUP($A26,[1]Offday!$A$2:$AK$18,MATCH('Planning-'!AF$23,[1]Offday!$A$2:$AO$2,0)))</f>
        <v>0.375</v>
      </c>
      <c r="AG26" s="111">
        <f>IF(VLOOKUP($A26,[1]Offday!$A$2:$AK$18,MATCH('Planning-'!AG$23,[1]Offday!$A$2:$AO$2,0))=0,$F26,VLOOKUP($A26,[1]Offday!$A$2:$AK$18,MATCH('Planning-'!AG$23,[1]Offday!$A$2:$AO$2,0)))</f>
        <v>0.5</v>
      </c>
      <c r="AH26" s="120">
        <f>IF(VLOOKUP($A26,[1]Offday!$A$2:$AK$18,MATCH('Planning-'!AH$23,[1]Offday!$A$2:$AO$2,0))=0,$F26,VLOOKUP($A26,[1]Offday!$A$2:$AK$18,MATCH('Planning-'!AH$23,[1]Offday!$A$2:$AO$2,0)))</f>
        <v>0.5</v>
      </c>
      <c r="AI26" s="111">
        <f>IF(VLOOKUP($A26,[1]Offday!$A$2:$AK$18,MATCH('Planning-'!AI$23,[1]Offday!$A$2:$AO$2,0))=0,$C26,VLOOKUP($A26,[1]Offday!$A$2:$AK$18,MATCH('Planning-'!AI$23,[1]Offday!$A$2:$AO$2,0)))</f>
        <v>0.29166666666666669</v>
      </c>
      <c r="AJ26" s="111">
        <f>IF(VLOOKUP($A26,[1]Offday!$A$2:$AK$18,MATCH('Planning-'!AJ$23,[1]Offday!$A$2:$AO$2,0))=0,$C26,VLOOKUP($A26,[1]Offday!$A$2:$AK$18,MATCH('Planning-'!AJ$23,[1]Offday!$A$2:$AO$2,0)))</f>
        <v>0.29166666666666669</v>
      </c>
      <c r="AK26" s="111">
        <f>IF(VLOOKUP($A26,[1]Offday!$A$2:$AK$18,MATCH('Planning-'!AK$23,[1]Offday!$A$2:$AO$2,0))=0,$C26,VLOOKUP($A26,[1]Offday!$A$2:$AK$18,MATCH('Planning-'!AK$23,[1]Offday!$A$2:$AO$2,0)))</f>
        <v>0.29166666666666669</v>
      </c>
      <c r="AL26" s="113">
        <f t="shared" ref="AL26:AL36" si="4">COUNTIF($G26:$T26,"7:00")</f>
        <v>5</v>
      </c>
      <c r="AM26" s="114">
        <f t="shared" si="2"/>
        <v>1</v>
      </c>
      <c r="AN26" s="114">
        <f t="shared" si="3"/>
        <v>4</v>
      </c>
      <c r="AO26" s="115">
        <f t="shared" ref="AO26:AO36" si="5">COUNTIF($G26:$T26,"O*")</f>
        <v>4</v>
      </c>
    </row>
    <row r="27" spans="1:41" s="116" customFormat="1" ht="15" customHeight="1" x14ac:dyDescent="0.25">
      <c r="A27" s="117">
        <v>4</v>
      </c>
      <c r="B27" s="108" t="str">
        <f>+[1]Offday!B6</f>
        <v>TETEVI Kokovi Georgette</v>
      </c>
      <c r="C27" s="118">
        <f>+[1]Offday!C6</f>
        <v>0.29166666666666669</v>
      </c>
      <c r="D27" s="118">
        <f>+[1]Offday!D6</f>
        <v>0.29166666666666669</v>
      </c>
      <c r="E27" s="118">
        <f>+[1]Offday!E6</f>
        <v>0.375</v>
      </c>
      <c r="F27" s="119">
        <f>+[1]Offday!F6</f>
        <v>0.5</v>
      </c>
      <c r="G27" s="111" t="str">
        <f>IF(VLOOKUP($A27,[1]Offday!$A$2:$AK$18,MATCH('Planning-'!G$23,[1]Offday!$A$2:$AO$2,0))=0,$C27,VLOOKUP($A27,[1]Offday!$A$2:$AK$18,MATCH('Planning-'!G$23,[1]Offday!$A$2:$AO$2,0)))</f>
        <v>C</v>
      </c>
      <c r="H27" s="111" t="str">
        <f>IF(VLOOKUP($A27,[1]Offday!$A$2:$AK$18,MATCH('Planning-'!H$23,[1]Offday!$A$2:$AO$2,0))=0,$C27,VLOOKUP($A27,[1]Offday!$A$2:$AK$18,MATCH('Planning-'!H$23,[1]Offday!$A$2:$AO$2,0)))</f>
        <v>C</v>
      </c>
      <c r="I27" s="111" t="str">
        <f>IF(VLOOKUP($A27,[1]Offday!$A$2:$AK$18,MATCH('Planning-'!I$23,[1]Offday!$A$2:$AO$2,0))=0,$C27,VLOOKUP($A27,[1]Offday!$A$2:$AK$18,MATCH('Planning-'!I$23,[1]Offday!$A$2:$AO$2,0)))</f>
        <v>C</v>
      </c>
      <c r="J27" s="111" t="str">
        <f>IF(VLOOKUP($A27,[1]Offday!$A$2:$AK$18,MATCH('Planning-'!J$23,[1]Offday!$A$2:$AO$2,0))=0,$E27,VLOOKUP($A27,[1]Offday!$A$2:$AK$18,MATCH('Planning-'!J$23,[1]Offday!$A$2:$AO$2,0)))</f>
        <v>C</v>
      </c>
      <c r="K27" s="111" t="str">
        <f>IF(VLOOKUP($A27,[1]Offday!$A$2:$AK$18,MATCH('Planning-'!K$23,[1]Offday!$A$2:$AO$2,0))=0,$E27,VLOOKUP($A27,[1]Offday!$A$2:$AK$18,MATCH('Planning-'!K$23,[1]Offday!$A$2:$AO$2,0)))</f>
        <v>C</v>
      </c>
      <c r="L27" s="111" t="str">
        <f>IF(VLOOKUP($A27,[1]Offday!$A$2:$AK$18,MATCH('Planning-'!L$23,[1]Offday!$A$2:$AO$2,0))=0,$F27,VLOOKUP($A27,[1]Offday!$A$2:$AK$18,MATCH('Planning-'!L$23,[1]Offday!$A$2:$AO$2,0)))</f>
        <v>C</v>
      </c>
      <c r="M27" s="120" t="str">
        <f>IF(VLOOKUP($A27,[1]Offday!$A$2:$AK$18,MATCH('Planning-'!M$23,[1]Offday!$A$2:$AO$2,0))=0,$F27,VLOOKUP($A27,[1]Offday!$A$2:$AK$18,MATCH('Planning-'!M$23,[1]Offday!$A$2:$AO$2,0)))</f>
        <v>C</v>
      </c>
      <c r="N27" s="111">
        <f>IF(VLOOKUP($A27,[1]Offday!$A$2:$AK$18,MATCH('Planning-'!N$23,[1]Offday!$A$2:$AO$2,0))=0,$F27,VLOOKUP($A27,[1]Offday!$A$2:$AK$18,MATCH('Planning-'!N$23,[1]Offday!$A$2:$AO$2,0)))</f>
        <v>0.5</v>
      </c>
      <c r="O27" s="111">
        <f>IF(VLOOKUP($A27,[1]Offday!$A$2:$AK$18,MATCH('Planning-'!O$23,[1]Offday!$A$2:$AO$2,0))=0,$C27,VLOOKUP($A27,[1]Offday!$A$2:$AK$18,MATCH('Planning-'!O$23,[1]Offday!$A$2:$AO$2,0)))</f>
        <v>0.29166666666666669</v>
      </c>
      <c r="P27" s="111">
        <f>IF(VLOOKUP($A27,[1]Offday!$A$2:$AK$18,MATCH('Planning-'!P$23,[1]Offday!$A$2:$AO$2,0))=0,$C27,VLOOKUP($A27,[1]Offday!$A$2:$AK$18,MATCH('Planning-'!P$23,[1]Offday!$A$2:$AO$2,0)))</f>
        <v>0.29166666666666669</v>
      </c>
      <c r="Q27" s="111">
        <f>IF(VLOOKUP($A27,[1]Offday!$A$2:$AK$18,MATCH('Planning-'!Q$23,[1]Offday!$A$2:$AO$2,0))=0,$F27,VLOOKUP($A27,[1]Offday!$A$2:$AK$18,MATCH('Planning-'!Q$23,[1]Offday!$A$2:$AO$2,0)))</f>
        <v>0.5</v>
      </c>
      <c r="R27" s="111">
        <f>IF(VLOOKUP($A27,[1]Offday!$A$2:$AK$18,MATCH('Planning-'!R$23,[1]Offday!$A$2:$AO$2,0))=0,$E27,VLOOKUP($A27,[1]Offday!$A$2:$AK$18,MATCH('Planning-'!R$23,[1]Offday!$A$2:$AO$2,0)))</f>
        <v>0.375</v>
      </c>
      <c r="S27" s="111">
        <f>IF(VLOOKUP($A27,[1]Offday!$A$2:$AK$18,MATCH('Planning-'!S$23,[1]Offday!$A$2:$AO$2,0))=0,$F27,VLOOKUP($A27,[1]Offday!$A$2:$AK$18,MATCH('Planning-'!S$23,[1]Offday!$A$2:$AO$2,0)))</f>
        <v>0.5</v>
      </c>
      <c r="T27" s="120" t="str">
        <f>IF(VLOOKUP($A27,[1]Offday!$A$2:$AK$18,MATCH('Planning-'!T$23,[1]Offday!$A$2:$AO$2,0))=0,$F27,VLOOKUP($A27,[1]Offday!$A$2:$AK$18,MATCH('Planning-'!T$23,[1]Offday!$A$2:$AO$2,0)))</f>
        <v>O</v>
      </c>
      <c r="U27" s="111">
        <f>IF(VLOOKUP($A27,[1]Offday!$A$2:$AK$18,MATCH('Planning-'!U$23,[1]Offday!$A$2:$AO$2,0))=0,$C27,VLOOKUP($A27,[1]Offday!$A$2:$AK$18,MATCH('Planning-'!U$23,[1]Offday!$A$2:$AO$2,0)))</f>
        <v>0.29166666666666669</v>
      </c>
      <c r="V27" s="111">
        <f>IF(VLOOKUP($A27,[1]Offday!$A$2:$AK$18,MATCH('Planning-'!V$23,[1]Offday!$A$2:$AO$2,0))=0,$C27,VLOOKUP($A27,[1]Offday!$A$2:$AK$18,MATCH('Planning-'!V$23,[1]Offday!$A$2:$AO$2,0)))</f>
        <v>0.29166666666666669</v>
      </c>
      <c r="W27" s="111">
        <f>IF(VLOOKUP($A27,[1]Offday!$A$2:$AK$18,MATCH('Planning-'!W$23,[1]Offday!$A$2:$AO$2,0))=0,$C27,VLOOKUP($A27,[1]Offday!$A$2:$AK$18,MATCH('Planning-'!W$23,[1]Offday!$A$2:$AO$2,0)))</f>
        <v>0.29166666666666669</v>
      </c>
      <c r="X27" s="111">
        <f>IF(VLOOKUP($A27,[1]Offday!$A$2:$AK$18,MATCH('Planning-'!X$23,[1]Offday!$A$2:$AO$2,0))=0,$E27,VLOOKUP($A27,[1]Offday!$A$2:$AK$18,MATCH('Planning-'!X$23,[1]Offday!$A$2:$AO$2,0)))</f>
        <v>0.375</v>
      </c>
      <c r="Y27" s="111">
        <f>IF(VLOOKUP($A27,[1]Offday!$A$2:$AK$18,MATCH('Planning-'!Y$23,[1]Offday!$A$2:$AO$2,0))=0,$E27,VLOOKUP($A27,[1]Offday!$A$2:$AK$18,MATCH('Planning-'!Y$23,[1]Offday!$A$2:$AO$2,0)))</f>
        <v>0.375</v>
      </c>
      <c r="Z27" s="111">
        <f>IF(VLOOKUP($A27,[1]Offday!$A$2:$AK$18,MATCH('Planning-'!Z$23,[1]Offday!$A$2:$AO$2,0))=0,$F27,VLOOKUP($A27,[1]Offday!$A$2:$AK$18,MATCH('Planning-'!Z$23,[1]Offday!$A$2:$AO$2,0)))</f>
        <v>0.5</v>
      </c>
      <c r="AA27" s="120">
        <f>IF(VLOOKUP($A27,[1]Offday!$A$2:$AK$18,MATCH('Planning-'!AA$23,[1]Offday!$A$2:$AO$2,0))=0,$F27,VLOOKUP($A27,[1]Offday!$A$2:$AK$18,MATCH('Planning-'!AA$23,[1]Offday!$A$2:$AO$2,0)))</f>
        <v>0.5</v>
      </c>
      <c r="AB27" s="111">
        <f>IF(VLOOKUP($A27,[1]Offday!$A$2:$AK$18,MATCH('Planning-'!AB$23,[1]Offday!$A$2:$AO$2,0))=0,$C27,VLOOKUP($A27,[1]Offday!$A$2:$AK$18,MATCH('Planning-'!AB$23,[1]Offday!$A$2:$AO$2,0)))</f>
        <v>0.29166666666666669</v>
      </c>
      <c r="AC27" s="111">
        <f>IF(VLOOKUP($A27,[1]Offday!$A$2:$AK$18,MATCH('Planning-'!AC$23,[1]Offday!$A$2:$AO$2,0))=0,$C27,VLOOKUP($A27,[1]Offday!$A$2:$AK$18,MATCH('Planning-'!AC$23,[1]Offday!$A$2:$AO$2,0)))</f>
        <v>0.29166666666666669</v>
      </c>
      <c r="AD27" s="111">
        <f>IF(VLOOKUP($A27,[1]Offday!$A$2:$AK$18,MATCH('Planning-'!AD$23,[1]Offday!$A$2:$AO$2,0))=0,$C27,VLOOKUP($A27,[1]Offday!$A$2:$AK$18,MATCH('Planning-'!AD$23,[1]Offday!$A$2:$AO$2,0)))</f>
        <v>0.29166666666666669</v>
      </c>
      <c r="AE27" s="111">
        <f>IF(VLOOKUP($A27,[1]Offday!$A$2:$AK$18,MATCH('Planning-'!AE$23,[1]Offday!$A$2:$AO$2,0))=0,$E27,VLOOKUP($A27,[1]Offday!$A$2:$AK$18,MATCH('Planning-'!AE$23,[1]Offday!$A$2:$AO$2,0)))</f>
        <v>0.375</v>
      </c>
      <c r="AF27" s="111">
        <f>IF(VLOOKUP($A27,[1]Offday!$A$2:$AK$18,MATCH('Planning-'!AF$23,[1]Offday!$A$2:$AO$2,0))=0,$E27,VLOOKUP($A27,[1]Offday!$A$2:$AK$18,MATCH('Planning-'!AF$23,[1]Offday!$A$2:$AO$2,0)))</f>
        <v>0.375</v>
      </c>
      <c r="AG27" s="111">
        <f>IF(VLOOKUP($A27,[1]Offday!$A$2:$AK$18,MATCH('Planning-'!AG$23,[1]Offday!$A$2:$AO$2,0))=0,$F27,VLOOKUP($A27,[1]Offday!$A$2:$AK$18,MATCH('Planning-'!AG$23,[1]Offday!$A$2:$AO$2,0)))</f>
        <v>0.5</v>
      </c>
      <c r="AH27" s="120">
        <f>IF(VLOOKUP($A27,[1]Offday!$A$2:$AK$18,MATCH('Planning-'!AH$23,[1]Offday!$A$2:$AO$2,0))=0,$F27,VLOOKUP($A27,[1]Offday!$A$2:$AK$18,MATCH('Planning-'!AH$23,[1]Offday!$A$2:$AO$2,0)))</f>
        <v>0.5</v>
      </c>
      <c r="AI27" s="111">
        <f>IF(VLOOKUP($A27,[1]Offday!$A$2:$AK$18,MATCH('Planning-'!AI$23,[1]Offday!$A$2:$AO$2,0))=0,$C27,VLOOKUP($A27,[1]Offday!$A$2:$AK$18,MATCH('Planning-'!AI$23,[1]Offday!$A$2:$AO$2,0)))</f>
        <v>0.29166666666666669</v>
      </c>
      <c r="AJ27" s="111">
        <f>IF(VLOOKUP($A27,[1]Offday!$A$2:$AK$18,MATCH('Planning-'!AJ$23,[1]Offday!$A$2:$AO$2,0))=0,$C27,VLOOKUP($A27,[1]Offday!$A$2:$AK$18,MATCH('Planning-'!AJ$23,[1]Offday!$A$2:$AO$2,0)))</f>
        <v>0.29166666666666669</v>
      </c>
      <c r="AK27" s="111">
        <f>IF(VLOOKUP($A27,[1]Offday!$A$2:$AK$18,MATCH('Planning-'!AK$23,[1]Offday!$A$2:$AO$2,0))=0,$C27,VLOOKUP($A27,[1]Offday!$A$2:$AK$18,MATCH('Planning-'!AK$23,[1]Offday!$A$2:$AO$2,0)))</f>
        <v>0.29166666666666669</v>
      </c>
      <c r="AL27" s="113">
        <f t="shared" si="4"/>
        <v>2</v>
      </c>
      <c r="AM27" s="114">
        <f t="shared" si="2"/>
        <v>1</v>
      </c>
      <c r="AN27" s="114">
        <f t="shared" si="3"/>
        <v>3</v>
      </c>
      <c r="AO27" s="115">
        <f t="shared" si="5"/>
        <v>1</v>
      </c>
    </row>
    <row r="28" spans="1:41" s="116" customFormat="1" ht="16.5" customHeight="1" x14ac:dyDescent="0.25">
      <c r="A28" s="121">
        <v>5</v>
      </c>
      <c r="B28" s="108" t="str">
        <f>+[1]Offday!B7</f>
        <v>TEBIE Pélaro</v>
      </c>
      <c r="C28" s="118">
        <f>+[1]Offday!C7</f>
        <v>0.29166666666666669</v>
      </c>
      <c r="D28" s="118">
        <f>+[1]Offday!D7</f>
        <v>0.375</v>
      </c>
      <c r="E28" s="118">
        <f>+[1]Offday!E7</f>
        <v>0.29166666666666669</v>
      </c>
      <c r="F28" s="119">
        <f>+[1]Offday!F7</f>
        <v>0.5</v>
      </c>
      <c r="G28" s="111">
        <f>IF(VLOOKUP($A28,[1]Offday!$A$2:$AK$18,MATCH('Planning-'!G$23,[1]Offday!$A$2:$AO$2,0))=0,$F28,VLOOKUP($A28,[1]Offday!$A$2:$AK$18,MATCH('Planning-'!G$23,[1]Offday!$A$2:$AO$2,0)))</f>
        <v>0.5</v>
      </c>
      <c r="H28" s="111">
        <f>IF(VLOOKUP($A28,[1]Offday!$A$2:$AK$18,MATCH('Planning-'!H$23,[1]Offday!$A$2:$AO$2,0))=0,$C28,VLOOKUP($A28,[1]Offday!$A$2:$AK$18,MATCH('Planning-'!H$23,[1]Offday!$A$2:$AO$2,0)))</f>
        <v>0.29166666666666669</v>
      </c>
      <c r="I28" s="111">
        <f>IF(VLOOKUP($A28,[1]Offday!$A$2:$AK$18,MATCH('Planning-'!I$23,[1]Offday!$A$2:$AO$2,0))=0,$C28,VLOOKUP($A28,[1]Offday!$A$2:$AK$18,MATCH('Planning-'!I$23,[1]Offday!$A$2:$AO$2,0)))</f>
        <v>0.29166666666666669</v>
      </c>
      <c r="J28" s="111" t="str">
        <f>IF(VLOOKUP($A28,[1]Offday!$A$2:$AK$18,MATCH('Planning-'!J$23,[1]Offday!$A$2:$AO$2,0))=0,$F28,VLOOKUP($A28,[1]Offday!$A$2:$AK$18,MATCH('Planning-'!J$23,[1]Offday!$A$2:$AO$2,0)))</f>
        <v>O</v>
      </c>
      <c r="K28" s="111">
        <f>IF(VLOOKUP($A28,[1]Offday!$A$2:$AK$18,MATCH('Planning-'!K$23,[1]Offday!$A$2:$AO$2,0))=0,$E28,VLOOKUP($A28,[1]Offday!$A$2:$AK$18,MATCH('Planning-'!K$23,[1]Offday!$A$2:$AO$2,0)))</f>
        <v>0.29166666666666669</v>
      </c>
      <c r="L28" s="111">
        <f>IF(VLOOKUP($A28,[1]Offday!$A$2:$AK$18,MATCH('Planning-'!L$23,[1]Offday!$A$2:$AO$2,0))=0,$F28,VLOOKUP($A28,[1]Offday!$A$2:$AK$18,MATCH('Planning-'!L$23,[1]Offday!$A$2:$AO$2,0)))</f>
        <v>0.5</v>
      </c>
      <c r="M28" s="120" t="str">
        <f>IF(VLOOKUP($A28,[1]Offday!$A$2:$AK$18,MATCH('Planning-'!M$23,[1]Offday!$A$2:$AO$2,0))=0,$F28,VLOOKUP($A28,[1]Offday!$A$2:$AK$18,MATCH('Planning-'!M$23,[1]Offday!$A$2:$AO$2,0)))</f>
        <v>O</v>
      </c>
      <c r="N28" s="111">
        <f>IF(VLOOKUP($A28,[1]Offday!$A$2:$AK$18,MATCH('Planning-'!N$23,[1]Offday!$A$2:$AO$2,0))=0,$F28,VLOOKUP($A28,[1]Offday!$A$2:$AK$18,MATCH('Planning-'!N$23,[1]Offday!$A$2:$AO$2,0)))</f>
        <v>0.5</v>
      </c>
      <c r="O28" s="111">
        <f>IF(VLOOKUP($A28,[1]Offday!$A$2:$AK$18,MATCH('Planning-'!O$23,[1]Offday!$A$2:$AO$2,0))=0,$F28,VLOOKUP($A28,[1]Offday!$A$2:$AK$18,MATCH('Planning-'!O$23,[1]Offday!$A$2:$AO$2,0)))</f>
        <v>0.5</v>
      </c>
      <c r="P28" s="111" t="str">
        <f>IF(VLOOKUP($A28,[1]Offday!$A$2:$AK$18,MATCH('Planning-'!P$23,[1]Offday!$A$2:$AO$2,0))=0,$D28,VLOOKUP($A28,[1]Offday!$A$2:$AK$18,MATCH('Planning-'!P$23,[1]Offday!$A$2:$AO$2,0)))</f>
        <v>O</v>
      </c>
      <c r="Q28" s="111">
        <f>IF(VLOOKUP($A28,[1]Offday!$A$2:$AK$18,MATCH('Planning-'!Q$23,[1]Offday!$A$2:$AO$2,0))=0,$D28,VLOOKUP($A28,[1]Offday!$A$2:$AK$18,MATCH('Planning-'!Q$23,[1]Offday!$A$2:$AO$2,0)))</f>
        <v>0.375</v>
      </c>
      <c r="R28" s="111">
        <f>IF(VLOOKUP($A28,[1]Offday!$A$2:$AK$18,MATCH('Planning-'!R$23,[1]Offday!$A$2:$AO$2,0))=0,$E28,VLOOKUP($A28,[1]Offday!$A$2:$AK$18,MATCH('Planning-'!R$23,[1]Offday!$A$2:$AO$2,0)))</f>
        <v>0.29166666666666669</v>
      </c>
      <c r="S28" s="111" t="str">
        <f>IF(VLOOKUP($A28,[1]Offday!$A$2:$AK$18,MATCH('Planning-'!S$23,[1]Offday!$A$2:$AO$2,0))=0,$F28,VLOOKUP($A28,[1]Offday!$A$2:$AK$18,MATCH('Planning-'!S$23,[1]Offday!$A$2:$AO$2,0)))</f>
        <v>O</v>
      </c>
      <c r="T28" s="120">
        <f>IF(VLOOKUP($A28,[1]Offday!$A$2:$AK$18,MATCH('Planning-'!T$23,[1]Offday!$A$2:$AO$2,0))=0,$F28,VLOOKUP($A28,[1]Offday!$A$2:$AK$18,MATCH('Planning-'!T$23,[1]Offday!$A$2:$AO$2,0)))</f>
        <v>0.5</v>
      </c>
      <c r="U28" s="111">
        <f>IF(VLOOKUP($A28,[1]Offday!$A$2:$AK$18,MATCH('Planning-'!U$23,[1]Offday!$A$2:$AO$2,0))=0,$C28,VLOOKUP($A28,[1]Offday!$A$2:$AK$18,MATCH('Planning-'!U$23,[1]Offday!$A$2:$AO$2,0)))</f>
        <v>0.29166666666666669</v>
      </c>
      <c r="V28" s="111">
        <f>IF(VLOOKUP($A28,[1]Offday!$A$2:$AK$18,MATCH('Planning-'!V$23,[1]Offday!$A$2:$AO$2,0))=0,$C28,VLOOKUP($A28,[1]Offday!$A$2:$AK$18,MATCH('Planning-'!V$23,[1]Offday!$A$2:$AO$2,0)))</f>
        <v>0.29166666666666669</v>
      </c>
      <c r="W28" s="111">
        <f>IF(VLOOKUP($A28,[1]Offday!$A$2:$AK$18,MATCH('Planning-'!W$23,[1]Offday!$A$2:$AO$2,0))=0,$C28,VLOOKUP($A28,[1]Offday!$A$2:$AK$18,MATCH('Planning-'!W$23,[1]Offday!$A$2:$AO$2,0)))</f>
        <v>0.29166666666666669</v>
      </c>
      <c r="X28" s="111">
        <f>IF(VLOOKUP($A28,[1]Offday!$A$2:$AK$18,MATCH('Planning-'!X$23,[1]Offday!$A$2:$AO$2,0))=0,$E28,VLOOKUP($A28,[1]Offday!$A$2:$AK$18,MATCH('Planning-'!X$23,[1]Offday!$A$2:$AO$2,0)))</f>
        <v>0.29166666666666669</v>
      </c>
      <c r="Y28" s="111">
        <f>IF(VLOOKUP($A28,[1]Offday!$A$2:$AK$18,MATCH('Planning-'!Y$23,[1]Offday!$A$2:$AO$2,0))=0,$E28,VLOOKUP($A28,[1]Offday!$A$2:$AK$18,MATCH('Planning-'!Y$23,[1]Offday!$A$2:$AO$2,0)))</f>
        <v>0.29166666666666669</v>
      </c>
      <c r="Z28" s="111">
        <f>IF(VLOOKUP($A28,[1]Offday!$A$2:$AK$18,MATCH('Planning-'!Z$23,[1]Offday!$A$2:$AO$2,0))=0,$F28,VLOOKUP($A28,[1]Offday!$A$2:$AK$18,MATCH('Planning-'!Z$23,[1]Offday!$A$2:$AO$2,0)))</f>
        <v>0.5</v>
      </c>
      <c r="AA28" s="120">
        <f>IF(VLOOKUP($A28,[1]Offday!$A$2:$AK$18,MATCH('Planning-'!AA$23,[1]Offday!$A$2:$AO$2,0))=0,$F28,VLOOKUP($A28,[1]Offday!$A$2:$AK$18,MATCH('Planning-'!AA$23,[1]Offday!$A$2:$AO$2,0)))</f>
        <v>0.5</v>
      </c>
      <c r="AB28" s="111">
        <f>IF(VLOOKUP($A28,[1]Offday!$A$2:$AK$18,MATCH('Planning-'!AB$23,[1]Offday!$A$2:$AO$2,0))=0,$C28,VLOOKUP($A28,[1]Offday!$A$2:$AK$18,MATCH('Planning-'!AB$23,[1]Offday!$A$2:$AO$2,0)))</f>
        <v>0.29166666666666669</v>
      </c>
      <c r="AC28" s="111">
        <f>IF(VLOOKUP($A28,[1]Offday!$A$2:$AK$18,MATCH('Planning-'!AC$23,[1]Offday!$A$2:$AO$2,0))=0,$C28,VLOOKUP($A28,[1]Offday!$A$2:$AK$18,MATCH('Planning-'!AC$23,[1]Offday!$A$2:$AO$2,0)))</f>
        <v>0.29166666666666669</v>
      </c>
      <c r="AD28" s="111">
        <f>IF(VLOOKUP($A28,[1]Offday!$A$2:$AK$18,MATCH('Planning-'!AD$23,[1]Offday!$A$2:$AO$2,0))=0,$C28,VLOOKUP($A28,[1]Offday!$A$2:$AK$18,MATCH('Planning-'!AD$23,[1]Offday!$A$2:$AO$2,0)))</f>
        <v>0.29166666666666669</v>
      </c>
      <c r="AE28" s="111">
        <f>IF(VLOOKUP($A28,[1]Offday!$A$2:$AK$18,MATCH('Planning-'!AE$23,[1]Offday!$A$2:$AO$2,0))=0,$E28,VLOOKUP($A28,[1]Offday!$A$2:$AK$18,MATCH('Planning-'!AE$23,[1]Offday!$A$2:$AO$2,0)))</f>
        <v>0.29166666666666669</v>
      </c>
      <c r="AF28" s="111">
        <f>IF(VLOOKUP($A28,[1]Offday!$A$2:$AK$18,MATCH('Planning-'!AF$23,[1]Offday!$A$2:$AO$2,0))=0,$E28,VLOOKUP($A28,[1]Offday!$A$2:$AK$18,MATCH('Planning-'!AF$23,[1]Offday!$A$2:$AO$2,0)))</f>
        <v>0.29166666666666669</v>
      </c>
      <c r="AG28" s="111">
        <f>IF(VLOOKUP($A28,[1]Offday!$A$2:$AK$18,MATCH('Planning-'!AG$23,[1]Offday!$A$2:$AO$2,0))=0,$F28,VLOOKUP($A28,[1]Offday!$A$2:$AK$18,MATCH('Planning-'!AG$23,[1]Offday!$A$2:$AO$2,0)))</f>
        <v>0.5</v>
      </c>
      <c r="AH28" s="120">
        <f>IF(VLOOKUP($A28,[1]Offday!$A$2:$AK$18,MATCH('Planning-'!AH$23,[1]Offday!$A$2:$AO$2,0))=0,$F28,VLOOKUP($A28,[1]Offday!$A$2:$AK$18,MATCH('Planning-'!AH$23,[1]Offday!$A$2:$AO$2,0)))</f>
        <v>0.5</v>
      </c>
      <c r="AI28" s="111">
        <f>IF(VLOOKUP($A28,[1]Offday!$A$2:$AK$18,MATCH('Planning-'!AI$23,[1]Offday!$A$2:$AO$2,0))=0,$C28,VLOOKUP($A28,[1]Offday!$A$2:$AK$18,MATCH('Planning-'!AI$23,[1]Offday!$A$2:$AO$2,0)))</f>
        <v>0.29166666666666669</v>
      </c>
      <c r="AJ28" s="111">
        <f>IF(VLOOKUP($A28,[1]Offday!$A$2:$AK$18,MATCH('Planning-'!AJ$23,[1]Offday!$A$2:$AO$2,0))=0,$C28,VLOOKUP($A28,[1]Offday!$A$2:$AK$18,MATCH('Planning-'!AJ$23,[1]Offday!$A$2:$AO$2,0)))</f>
        <v>0.29166666666666669</v>
      </c>
      <c r="AK28" s="111">
        <f>IF(VLOOKUP($A28,[1]Offday!$A$2:$AK$18,MATCH('Planning-'!AK$23,[1]Offday!$A$2:$AO$2,0))=0,$C28,VLOOKUP($A28,[1]Offday!$A$2:$AK$18,MATCH('Planning-'!AK$23,[1]Offday!$A$2:$AO$2,0)))</f>
        <v>0.29166666666666669</v>
      </c>
      <c r="AL28" s="113">
        <f t="shared" si="4"/>
        <v>4</v>
      </c>
      <c r="AM28" s="114">
        <f t="shared" si="2"/>
        <v>1</v>
      </c>
      <c r="AN28" s="114">
        <f t="shared" si="3"/>
        <v>5</v>
      </c>
      <c r="AO28" s="115">
        <f t="shared" si="5"/>
        <v>4</v>
      </c>
    </row>
    <row r="29" spans="1:41" ht="15.75" customHeight="1" x14ac:dyDescent="0.25">
      <c r="A29" s="117">
        <v>6</v>
      </c>
      <c r="B29" s="108" t="str">
        <f>+[1]Offday!B8</f>
        <v>TCHIKIRI SAMTOU SEBASTIEN</v>
      </c>
      <c r="C29" s="118">
        <f>+[1]Offday!C8</f>
        <v>0.29166666666666669</v>
      </c>
      <c r="D29" s="118">
        <f>+[1]Offday!D8</f>
        <v>0.375</v>
      </c>
      <c r="E29" s="118">
        <f>+[1]Offday!E8</f>
        <v>0.29166666666666669</v>
      </c>
      <c r="F29" s="119">
        <f>+[1]Offday!F8</f>
        <v>0.5</v>
      </c>
      <c r="G29" s="111">
        <f>IF(VLOOKUP($A29,[1]Offday!$A$2:$AK$18,MATCH('Planning-'!G$23,[1]Offday!$A$2:$AO$2,0))=0,$F29,VLOOKUP($A29,[1]Offday!$A$2:$AK$18,MATCH('Planning-'!G$23,[1]Offday!$A$2:$AO$2,0)))</f>
        <v>0.5</v>
      </c>
      <c r="H29" s="111" t="str">
        <f>IF(VLOOKUP($A29,[1]Offday!$A$2:$AK$18,MATCH('Planning-'!H$23,[1]Offday!$A$2:$AO$2,0))=0,$C29,VLOOKUP($A29,[1]Offday!$A$2:$AK$18,MATCH('Planning-'!H$23,[1]Offday!$A$2:$AO$2,0)))</f>
        <v>O</v>
      </c>
      <c r="I29" s="111">
        <f>IF(VLOOKUP($A29,[1]Offday!$A$2:$AK$18,MATCH('Planning-'!I$23,[1]Offday!$A$2:$AO$2,0))=0,$C29,VLOOKUP($A29,[1]Offday!$A$2:$AK$18,MATCH('Planning-'!I$23,[1]Offday!$A$2:$AO$2,0)))</f>
        <v>0.29166666666666669</v>
      </c>
      <c r="J29" s="111">
        <f>IF(VLOOKUP($A29,[1]Offday!$A$2:$AK$18,MATCH('Planning-'!J$23,[1]Offday!$A$2:$AO$2,0))=0,$E29,VLOOKUP($A29,[1]Offday!$A$2:$AK$18,MATCH('Planning-'!J$23,[1]Offday!$A$2:$AO$2,0)))</f>
        <v>0.29166666666666669</v>
      </c>
      <c r="K29" s="111">
        <f>IF(VLOOKUP($A29,[1]Offday!$A$2:$AK$18,MATCH('Planning-'!K$23,[1]Offday!$A$2:$AO$2,0))=0,$D29,VLOOKUP($A29,[1]Offday!$A$2:$AK$18,MATCH('Planning-'!K$23,[1]Offday!$A$2:$AO$2,0)))</f>
        <v>0.375</v>
      </c>
      <c r="L29" s="111" t="str">
        <f>IF(VLOOKUP($A29,[1]Offday!$A$2:$AK$18,MATCH('Planning-'!L$23,[1]Offday!$A$2:$AO$2,0))=0,$F29,VLOOKUP($A29,[1]Offday!$A$2:$AK$18,MATCH('Planning-'!L$23,[1]Offday!$A$2:$AO$2,0)))</f>
        <v>O</v>
      </c>
      <c r="M29" s="120">
        <f>IF(VLOOKUP($A29,[1]Offday!$A$2:$AK$18,MATCH('Planning-'!M$23,[1]Offday!$A$2:$AO$2,0))=0,$F29,VLOOKUP($A29,[1]Offday!$A$2:$AK$18,MATCH('Planning-'!M$23,[1]Offday!$A$2:$AO$2,0)))</f>
        <v>0.5</v>
      </c>
      <c r="N29" s="111">
        <f>IF(VLOOKUP($A29,[1]Offday!$A$2:$AK$18,MATCH('Planning-'!N$23,[1]Offday!$A$2:$AO$2,0))=0,$C29,VLOOKUP($A29,[1]Offday!$A$2:$AK$18,MATCH('Planning-'!N$23,[1]Offday!$A$2:$AO$2,0)))</f>
        <v>0.29166666666666669</v>
      </c>
      <c r="O29" s="111">
        <f>IF(VLOOKUP($A29,[1]Offday!$A$2:$AK$18,MATCH('Planning-'!O$23,[1]Offday!$A$2:$AO$2,0))=0,$C29,VLOOKUP($A29,[1]Offday!$A$2:$AK$18,MATCH('Planning-'!O$23,[1]Offday!$A$2:$AO$2,0)))</f>
        <v>0.29166666666666669</v>
      </c>
      <c r="P29" s="111" t="str">
        <f>IF(VLOOKUP($A29,[1]Offday!$A$2:$AK$18,MATCH('Planning-'!P$23,[1]Offday!$A$2:$AO$2,0))=0,$F29,VLOOKUP($A29,[1]Offday!$A$2:$AK$18,MATCH('Planning-'!P$23,[1]Offday!$A$2:$AO$2,0)))</f>
        <v>O</v>
      </c>
      <c r="Q29" s="111">
        <f>IF(VLOOKUP($A29,[1]Offday!$A$2:$AK$18,MATCH('Planning-'!Q$23,[1]Offday!$A$2:$AO$2,0))=0,$C29,VLOOKUP($A29,[1]Offday!$A$2:$AK$18,MATCH('Planning-'!Q$23,[1]Offday!$A$2:$AO$2,0)))</f>
        <v>0.29166666666666669</v>
      </c>
      <c r="R29" s="111">
        <f>IF(VLOOKUP($A29,[1]Offday!$A$2:$AK$18,MATCH('Planning-'!R$23,[1]Offday!$A$2:$AO$2,0))=0,$E29,VLOOKUP($A29,[1]Offday!$A$2:$AK$18,MATCH('Planning-'!R$23,[1]Offday!$A$2:$AO$2,0)))</f>
        <v>0.29166666666666669</v>
      </c>
      <c r="S29" s="111">
        <f>IF(VLOOKUP($A29,[1]Offday!$A$2:$AK$18,MATCH('Planning-'!S$23,[1]Offday!$A$2:$AO$2,0))=0,$F29,VLOOKUP($A29,[1]Offday!$A$2:$AK$18,MATCH('Planning-'!S$23,[1]Offday!$A$2:$AO$2,0)))</f>
        <v>0.5</v>
      </c>
      <c r="T29" s="120" t="str">
        <f>IF(VLOOKUP($A29,[1]Offday!$A$2:$AK$18,MATCH('Planning-'!T$23,[1]Offday!$A$2:$AO$2,0))=0,$F29,VLOOKUP($A29,[1]Offday!$A$2:$AK$18,MATCH('Planning-'!T$23,[1]Offday!$A$2:$AO$2,0)))</f>
        <v>O</v>
      </c>
      <c r="U29" s="111">
        <f>IF(VLOOKUP($A29,[1]Offday!$A$2:$AK$18,MATCH('Planning-'!U$23,[1]Offday!$A$2:$AO$2,0))=0,$C29,VLOOKUP($A29,[1]Offday!$A$2:$AK$18,MATCH('Planning-'!U$23,[1]Offday!$A$2:$AO$2,0)))</f>
        <v>0.29166666666666669</v>
      </c>
      <c r="V29" s="111">
        <f>IF(VLOOKUP($A29,[1]Offday!$A$2:$AK$18,MATCH('Planning-'!V$23,[1]Offday!$A$2:$AO$2,0))=0,$C29,VLOOKUP($A29,[1]Offday!$A$2:$AK$18,MATCH('Planning-'!V$23,[1]Offday!$A$2:$AO$2,0)))</f>
        <v>0.29166666666666669</v>
      </c>
      <c r="W29" s="111">
        <f>IF(VLOOKUP($A29,[1]Offday!$A$2:$AK$18,MATCH('Planning-'!W$23,[1]Offday!$A$2:$AO$2,0))=0,$C29,VLOOKUP($A29,[1]Offday!$A$2:$AK$18,MATCH('Planning-'!W$23,[1]Offday!$A$2:$AO$2,0)))</f>
        <v>0.29166666666666669</v>
      </c>
      <c r="X29" s="111">
        <f>IF(VLOOKUP($A29,[1]Offday!$A$2:$AK$18,MATCH('Planning-'!X$23,[1]Offday!$A$2:$AO$2,0))=0,$E29,VLOOKUP($A29,[1]Offday!$A$2:$AK$18,MATCH('Planning-'!X$23,[1]Offday!$A$2:$AO$2,0)))</f>
        <v>0.29166666666666669</v>
      </c>
      <c r="Y29" s="111">
        <f>IF(VLOOKUP($A29,[1]Offday!$A$2:$AK$18,MATCH('Planning-'!Y$23,[1]Offday!$A$2:$AO$2,0))=0,$E29,VLOOKUP($A29,[1]Offday!$A$2:$AK$18,MATCH('Planning-'!Y$23,[1]Offday!$A$2:$AO$2,0)))</f>
        <v>0.29166666666666669</v>
      </c>
      <c r="Z29" s="111">
        <f>IF(VLOOKUP($A29,[1]Offday!$A$2:$AK$18,MATCH('Planning-'!Z$23,[1]Offday!$A$2:$AO$2,0))=0,$F29,VLOOKUP($A29,[1]Offday!$A$2:$AK$18,MATCH('Planning-'!Z$23,[1]Offday!$A$2:$AO$2,0)))</f>
        <v>0.5</v>
      </c>
      <c r="AA29" s="120">
        <f>IF(VLOOKUP($A29,[1]Offday!$A$2:$AK$18,MATCH('Planning-'!AA$23,[1]Offday!$A$2:$AO$2,0))=0,$F29,VLOOKUP($A29,[1]Offday!$A$2:$AK$18,MATCH('Planning-'!AA$23,[1]Offday!$A$2:$AO$2,0)))</f>
        <v>0.5</v>
      </c>
      <c r="AB29" s="111">
        <f>IF(VLOOKUP($A29,[1]Offday!$A$2:$AK$18,MATCH('Planning-'!AB$23,[1]Offday!$A$2:$AO$2,0))=0,$C29,VLOOKUP($A29,[1]Offday!$A$2:$AK$18,MATCH('Planning-'!AB$23,[1]Offday!$A$2:$AO$2,0)))</f>
        <v>0.29166666666666669</v>
      </c>
      <c r="AC29" s="111">
        <f>IF(VLOOKUP($A29,[1]Offday!$A$2:$AK$18,MATCH('Planning-'!AC$23,[1]Offday!$A$2:$AO$2,0))=0,$C29,VLOOKUP($A29,[1]Offday!$A$2:$AK$18,MATCH('Planning-'!AC$23,[1]Offday!$A$2:$AO$2,0)))</f>
        <v>0.29166666666666669</v>
      </c>
      <c r="AD29" s="111">
        <f>IF(VLOOKUP($A29,[1]Offday!$A$2:$AK$18,MATCH('Planning-'!AD$23,[1]Offday!$A$2:$AO$2,0))=0,$C29,VLOOKUP($A29,[1]Offday!$A$2:$AK$18,MATCH('Planning-'!AD$23,[1]Offday!$A$2:$AO$2,0)))</f>
        <v>0.29166666666666669</v>
      </c>
      <c r="AE29" s="111">
        <f>IF(VLOOKUP($A29,[1]Offday!$A$2:$AK$18,MATCH('Planning-'!AE$23,[1]Offday!$A$2:$AO$2,0))=0,$E29,VLOOKUP($A29,[1]Offday!$A$2:$AK$18,MATCH('Planning-'!AE$23,[1]Offday!$A$2:$AO$2,0)))</f>
        <v>0.29166666666666669</v>
      </c>
      <c r="AF29" s="111">
        <f>IF(VLOOKUP($A29,[1]Offday!$A$2:$AK$18,MATCH('Planning-'!AF$23,[1]Offday!$A$2:$AO$2,0))=0,$E29,VLOOKUP($A29,[1]Offday!$A$2:$AK$18,MATCH('Planning-'!AF$23,[1]Offday!$A$2:$AO$2,0)))</f>
        <v>0.29166666666666669</v>
      </c>
      <c r="AG29" s="111">
        <f>IF(VLOOKUP($A29,[1]Offday!$A$2:$AK$18,MATCH('Planning-'!AG$23,[1]Offday!$A$2:$AO$2,0))=0,$F29,VLOOKUP($A29,[1]Offday!$A$2:$AK$18,MATCH('Planning-'!AG$23,[1]Offday!$A$2:$AO$2,0)))</f>
        <v>0.5</v>
      </c>
      <c r="AH29" s="120">
        <f>IF(VLOOKUP($A29,[1]Offday!$A$2:$AK$18,MATCH('Planning-'!AH$23,[1]Offday!$A$2:$AO$2,0))=0,$F29,VLOOKUP($A29,[1]Offday!$A$2:$AK$18,MATCH('Planning-'!AH$23,[1]Offday!$A$2:$AO$2,0)))</f>
        <v>0.5</v>
      </c>
      <c r="AI29" s="111">
        <f>IF(VLOOKUP($A29,[1]Offday!$A$2:$AK$18,MATCH('Planning-'!AI$23,[1]Offday!$A$2:$AO$2,0))=0,$C29,VLOOKUP($A29,[1]Offday!$A$2:$AK$18,MATCH('Planning-'!AI$23,[1]Offday!$A$2:$AO$2,0)))</f>
        <v>0.29166666666666669</v>
      </c>
      <c r="AJ29" s="111">
        <f>IF(VLOOKUP($A29,[1]Offday!$A$2:$AK$18,MATCH('Planning-'!AJ$23,[1]Offday!$A$2:$AO$2,0))=0,$C29,VLOOKUP($A29,[1]Offday!$A$2:$AK$18,MATCH('Planning-'!AJ$23,[1]Offday!$A$2:$AO$2,0)))</f>
        <v>0.29166666666666669</v>
      </c>
      <c r="AK29" s="111">
        <f>IF(VLOOKUP($A29,[1]Offday!$A$2:$AK$18,MATCH('Planning-'!AK$23,[1]Offday!$A$2:$AO$2,0))=0,$C29,VLOOKUP($A29,[1]Offday!$A$2:$AK$18,MATCH('Planning-'!AK$23,[1]Offday!$A$2:$AO$2,0)))</f>
        <v>0.29166666666666669</v>
      </c>
      <c r="AL29" s="113">
        <f t="shared" si="4"/>
        <v>6</v>
      </c>
      <c r="AM29" s="114">
        <f t="shared" si="2"/>
        <v>1</v>
      </c>
      <c r="AN29" s="114">
        <f t="shared" si="3"/>
        <v>3</v>
      </c>
      <c r="AO29" s="115">
        <f t="shared" si="5"/>
        <v>4</v>
      </c>
    </row>
    <row r="30" spans="1:41" x14ac:dyDescent="0.25">
      <c r="A30" s="121">
        <v>7</v>
      </c>
      <c r="B30" s="108" t="str">
        <f>+[1]Offday!B9</f>
        <v>NYASSOGBO Stéphane Hénoc</v>
      </c>
      <c r="C30" s="118">
        <f>+[1]Offday!C9</f>
        <v>0.29166666666666669</v>
      </c>
      <c r="D30" s="118">
        <f>+[1]Offday!D9</f>
        <v>0.5</v>
      </c>
      <c r="E30" s="118">
        <f>+[1]Offday!E9</f>
        <v>0.29166666666666669</v>
      </c>
      <c r="F30" s="119">
        <f>+[1]Offday!F9</f>
        <v>0.375</v>
      </c>
      <c r="G30" s="111" t="str">
        <f>IF(VLOOKUP($A30,[1]Offday!$A$2:$AK$18,MATCH('Planning-'!G$23,[1]Offday!$A$2:$AO$2,0))=0,$D30,VLOOKUP($A30,[1]Offday!$A$2:$AK$18,MATCH('Planning-'!G$23,[1]Offday!$A$2:$AO$2,0)))</f>
        <v>O</v>
      </c>
      <c r="H30" s="111">
        <f>IF(VLOOKUP($A30,[1]Offday!$A$2:$AK$18,MATCH('Planning-'!H$23,[1]Offday!$A$2:$AO$2,0))=0,$F30,VLOOKUP($A30,[1]Offday!$A$2:$AK$18,MATCH('Planning-'!H$23,[1]Offday!$A$2:$AO$2,0)))</f>
        <v>0.375</v>
      </c>
      <c r="I30" s="111">
        <f>IF(VLOOKUP($A30,[1]Offday!$A$2:$AK$18,MATCH('Planning-'!I$23,[1]Offday!$A$2:$AO$2,0))=0,$D30,VLOOKUP($A30,[1]Offday!$A$2:$AK$18,MATCH('Planning-'!I$23,[1]Offday!$A$2:$AO$2,0)))</f>
        <v>0.5</v>
      </c>
      <c r="J30" s="111">
        <f>IF(VLOOKUP($A30,[1]Offday!$A$2:$AK$18,MATCH('Planning-'!J$23,[1]Offday!$A$2:$AO$2,0))=0,$D30,VLOOKUP($A30,[1]Offday!$A$2:$AK$18,MATCH('Planning-'!J$23,[1]Offday!$A$2:$AO$2,0)))</f>
        <v>0.5</v>
      </c>
      <c r="K30" s="111">
        <f>IF(VLOOKUP($A30,[1]Offday!$A$2:$AK$18,MATCH('Planning-'!K$23,[1]Offday!$A$2:$AO$2,0))=0,$E30,VLOOKUP($A30,[1]Offday!$A$2:$AK$18,MATCH('Planning-'!K$23,[1]Offday!$A$2:$AO$2,0)))</f>
        <v>0.29166666666666669</v>
      </c>
      <c r="L30" s="111">
        <f>IF(VLOOKUP($A30,[1]Offday!$A$2:$AK$18,MATCH('Planning-'!L$23,[1]Offday!$A$2:$AO$2,0))=0,$D30,VLOOKUP($A30,[1]Offday!$A$2:$AK$18,MATCH('Planning-'!L$23,[1]Offday!$A$2:$AO$2,0)))</f>
        <v>0.5</v>
      </c>
      <c r="M30" s="120" t="str">
        <f>IF(VLOOKUP($A30,[1]Offday!$A$2:$AK$18,MATCH('Planning-'!M$23,[1]Offday!$A$2:$AO$2,0))=0,$F30,VLOOKUP($A30,[1]Offday!$A$2:$AK$18,MATCH('Planning-'!M$23,[1]Offday!$A$2:$AO$2,0)))</f>
        <v>O</v>
      </c>
      <c r="N30" s="111">
        <f>IF(VLOOKUP($A30,[1]Offday!$A$2:$AK$18,MATCH('Planning-'!N$23,[1]Offday!$A$2:$AO$2,0))=0,$C30,VLOOKUP($A30,[1]Offday!$A$2:$AK$18,MATCH('Planning-'!N$23,[1]Offday!$A$2:$AO$2,0)))</f>
        <v>0.29166666666666669</v>
      </c>
      <c r="O30" s="111">
        <f>IF(VLOOKUP($A30,[1]Offday!$A$2:$AK$18,MATCH('Planning-'!O$23,[1]Offday!$A$2:$AO$2,0))=0,$C30,VLOOKUP($A30,[1]Offday!$A$2:$AK$18,MATCH('Planning-'!O$23,[1]Offday!$A$2:$AO$2,0)))</f>
        <v>0.29166666666666669</v>
      </c>
      <c r="P30" s="111">
        <f>IF(VLOOKUP($A30,[1]Offday!$A$2:$AK$18,MATCH('Planning-'!P$23,[1]Offday!$A$2:$AO$2,0))=0,$D30,VLOOKUP($A30,[1]Offday!$A$2:$AK$18,MATCH('Planning-'!P$23,[1]Offday!$A$2:$AO$2,0)))</f>
        <v>0.5</v>
      </c>
      <c r="Q30" s="111">
        <f>IF(VLOOKUP($A30,[1]Offday!$A$2:$AK$18,MATCH('Planning-'!Q$23,[1]Offday!$A$2:$AO$2,0))=0,$E30,VLOOKUP($A30,[1]Offday!$A$2:$AK$18,MATCH('Planning-'!Q$23,[1]Offday!$A$2:$AO$2,0)))</f>
        <v>0.29166666666666669</v>
      </c>
      <c r="R30" s="111" t="str">
        <f>IF(VLOOKUP($A30,[1]Offday!$A$2:$AK$18,MATCH('Planning-'!R$23,[1]Offday!$A$2:$AO$2,0))=0,$D30,VLOOKUP($A30,[1]Offday!$A$2:$AK$18,MATCH('Planning-'!R$23,[1]Offday!$A$2:$AO$2,0)))</f>
        <v>O</v>
      </c>
      <c r="S30" s="111" t="str">
        <f>IF(VLOOKUP($A30,[1]Offday!$A$2:$AK$18,MATCH('Planning-'!S$23,[1]Offday!$A$2:$AO$2,0))=0,$F30,VLOOKUP($A30,[1]Offday!$A$2:$AK$18,MATCH('Planning-'!S$23,[1]Offday!$A$2:$AO$2,0)))</f>
        <v>O</v>
      </c>
      <c r="T30" s="120">
        <f>IF(VLOOKUP($A30,[1]Offday!$A$2:$AK$18,MATCH('Planning-'!T$23,[1]Offday!$A$2:$AO$2,0))=0,$E30,VLOOKUP($A30,[1]Offday!$A$2:$AK$18,MATCH('Planning-'!T$23,[1]Offday!$A$2:$AO$2,0)))</f>
        <v>0.29166666666666669</v>
      </c>
      <c r="U30" s="111">
        <f>IF(VLOOKUP($A30,[1]Offday!$A$2:$AK$18,MATCH('Planning-'!U$23,[1]Offday!$A$2:$AO$2,0))=0,$C30,VLOOKUP($A30,[1]Offday!$A$2:$AK$18,MATCH('Planning-'!U$23,[1]Offday!$A$2:$AO$2,0)))</f>
        <v>0.29166666666666669</v>
      </c>
      <c r="V30" s="111">
        <f>IF(VLOOKUP($A30,[1]Offday!$A$2:$AK$18,MATCH('Planning-'!V$23,[1]Offday!$A$2:$AO$2,0))=0,$C30,VLOOKUP($A30,[1]Offday!$A$2:$AK$18,MATCH('Planning-'!V$23,[1]Offday!$A$2:$AO$2,0)))</f>
        <v>0.29166666666666669</v>
      </c>
      <c r="W30" s="111">
        <f>IF(VLOOKUP($A30,[1]Offday!$A$2:$AK$18,MATCH('Planning-'!W$23,[1]Offday!$A$2:$AO$2,0))=0,$C30,VLOOKUP($A30,[1]Offday!$A$2:$AK$18,MATCH('Planning-'!W$23,[1]Offday!$A$2:$AO$2,0)))</f>
        <v>0.29166666666666669</v>
      </c>
      <c r="X30" s="111">
        <f>IF(VLOOKUP($A30,[1]Offday!$A$2:$AK$18,MATCH('Planning-'!X$23,[1]Offday!$A$2:$AO$2,0))=0,$E30,VLOOKUP($A30,[1]Offday!$A$2:$AK$18,MATCH('Planning-'!X$23,[1]Offday!$A$2:$AO$2,0)))</f>
        <v>0.29166666666666669</v>
      </c>
      <c r="Y30" s="111">
        <f>IF(VLOOKUP($A30,[1]Offday!$A$2:$AK$18,MATCH('Planning-'!Y$23,[1]Offday!$A$2:$AO$2,0))=0,$E30,VLOOKUP($A30,[1]Offday!$A$2:$AK$18,MATCH('Planning-'!Y$23,[1]Offday!$A$2:$AO$2,0)))</f>
        <v>0.29166666666666669</v>
      </c>
      <c r="Z30" s="111">
        <f>IF(VLOOKUP($A30,[1]Offday!$A$2:$AK$18,MATCH('Planning-'!Z$23,[1]Offday!$A$2:$AO$2,0))=0,$F30,VLOOKUP($A30,[1]Offday!$A$2:$AK$18,MATCH('Planning-'!Z$23,[1]Offday!$A$2:$AO$2,0)))</f>
        <v>0.375</v>
      </c>
      <c r="AA30" s="120">
        <f>IF(VLOOKUP($A30,[1]Offday!$A$2:$AK$18,MATCH('Planning-'!AA$23,[1]Offday!$A$2:$AO$2,0))=0,$F30,VLOOKUP($A30,[1]Offday!$A$2:$AK$18,MATCH('Planning-'!AA$23,[1]Offday!$A$2:$AO$2,0)))</f>
        <v>0.375</v>
      </c>
      <c r="AB30" s="111">
        <f>IF(VLOOKUP($A30,[1]Offday!$A$2:$AK$18,MATCH('Planning-'!AB$23,[1]Offday!$A$2:$AO$2,0))=0,$C30,VLOOKUP($A30,[1]Offday!$A$2:$AK$18,MATCH('Planning-'!AB$23,[1]Offday!$A$2:$AO$2,0)))</f>
        <v>0.29166666666666669</v>
      </c>
      <c r="AC30" s="111">
        <f>IF(VLOOKUP($A30,[1]Offday!$A$2:$AK$18,MATCH('Planning-'!AC$23,[1]Offday!$A$2:$AO$2,0))=0,$C30,VLOOKUP($A30,[1]Offday!$A$2:$AK$18,MATCH('Planning-'!AC$23,[1]Offday!$A$2:$AO$2,0)))</f>
        <v>0.29166666666666669</v>
      </c>
      <c r="AD30" s="111">
        <f>IF(VLOOKUP($A30,[1]Offday!$A$2:$AK$18,MATCH('Planning-'!AD$23,[1]Offday!$A$2:$AO$2,0))=0,$C30,VLOOKUP($A30,[1]Offday!$A$2:$AK$18,MATCH('Planning-'!AD$23,[1]Offday!$A$2:$AO$2,0)))</f>
        <v>0.29166666666666669</v>
      </c>
      <c r="AE30" s="111">
        <f>IF(VLOOKUP($A30,[1]Offday!$A$2:$AK$18,MATCH('Planning-'!AE$23,[1]Offday!$A$2:$AO$2,0))=0,$E30,VLOOKUP($A30,[1]Offday!$A$2:$AK$18,MATCH('Planning-'!AE$23,[1]Offday!$A$2:$AO$2,0)))</f>
        <v>0.29166666666666669</v>
      </c>
      <c r="AF30" s="111">
        <f>IF(VLOOKUP($A30,[1]Offday!$A$2:$AK$18,MATCH('Planning-'!AF$23,[1]Offday!$A$2:$AO$2,0))=0,$E30,VLOOKUP($A30,[1]Offday!$A$2:$AK$18,MATCH('Planning-'!AF$23,[1]Offday!$A$2:$AO$2,0)))</f>
        <v>0.29166666666666669</v>
      </c>
      <c r="AG30" s="111">
        <f>IF(VLOOKUP($A30,[1]Offday!$A$2:$AK$18,MATCH('Planning-'!AG$23,[1]Offday!$A$2:$AO$2,0))=0,$F30,VLOOKUP($A30,[1]Offday!$A$2:$AK$18,MATCH('Planning-'!AG$23,[1]Offday!$A$2:$AO$2,0)))</f>
        <v>0.375</v>
      </c>
      <c r="AH30" s="120">
        <f>IF(VLOOKUP($A30,[1]Offday!$A$2:$AK$18,MATCH('Planning-'!AH$23,[1]Offday!$A$2:$AO$2,0))=0,$F30,VLOOKUP($A30,[1]Offday!$A$2:$AK$18,MATCH('Planning-'!AH$23,[1]Offday!$A$2:$AO$2,0)))</f>
        <v>0.375</v>
      </c>
      <c r="AI30" s="111">
        <f>IF(VLOOKUP($A30,[1]Offday!$A$2:$AK$18,MATCH('Planning-'!AI$23,[1]Offday!$A$2:$AO$2,0))=0,$C30,VLOOKUP($A30,[1]Offday!$A$2:$AK$18,MATCH('Planning-'!AI$23,[1]Offday!$A$2:$AO$2,0)))</f>
        <v>0.29166666666666669</v>
      </c>
      <c r="AJ30" s="111">
        <f>IF(VLOOKUP($A30,[1]Offday!$A$2:$AK$18,MATCH('Planning-'!AJ$23,[1]Offday!$A$2:$AO$2,0))=0,$C30,VLOOKUP($A30,[1]Offday!$A$2:$AK$18,MATCH('Planning-'!AJ$23,[1]Offday!$A$2:$AO$2,0)))</f>
        <v>0.29166666666666669</v>
      </c>
      <c r="AK30" s="111">
        <f>IF(VLOOKUP($A30,[1]Offday!$A$2:$AK$18,MATCH('Planning-'!AK$23,[1]Offday!$A$2:$AO$2,0))=0,$C30,VLOOKUP($A30,[1]Offday!$A$2:$AK$18,MATCH('Planning-'!AK$23,[1]Offday!$A$2:$AO$2,0)))</f>
        <v>0.29166666666666669</v>
      </c>
      <c r="AL30" s="113">
        <f t="shared" si="4"/>
        <v>5</v>
      </c>
      <c r="AM30" s="114">
        <f t="shared" si="2"/>
        <v>1</v>
      </c>
      <c r="AN30" s="114">
        <f t="shared" si="3"/>
        <v>4</v>
      </c>
      <c r="AO30" s="115">
        <f t="shared" si="5"/>
        <v>4</v>
      </c>
    </row>
    <row r="31" spans="1:41" x14ac:dyDescent="0.25">
      <c r="A31" s="117">
        <v>8</v>
      </c>
      <c r="B31" s="108" t="str">
        <f>+[1]Offday!B10</f>
        <v>BOKODJIN Koami Richard</v>
      </c>
      <c r="C31" s="118">
        <f>+[1]Offday!C10</f>
        <v>0.29166666666666669</v>
      </c>
      <c r="D31" s="118">
        <f>+[1]Offday!D10</f>
        <v>0.5</v>
      </c>
      <c r="E31" s="118">
        <f>+[1]Offday!E10</f>
        <v>0.375</v>
      </c>
      <c r="F31" s="119">
        <f>+[1]Offday!F10</f>
        <v>0.5</v>
      </c>
      <c r="G31" s="111">
        <f>IF(VLOOKUP($A31,[1]Offday!$A$2:$AK$18,MATCH('Planning-'!G$23,[1]Offday!$A$2:$AO$2,0))=0,$C31,VLOOKUP($A31,[1]Offday!$A$2:$AK$18,MATCH('Planning-'!G$23,[1]Offday!$A$2:$AO$2,0)))</f>
        <v>0.29166666666666669</v>
      </c>
      <c r="H31" s="111" t="str">
        <f>IF(VLOOKUP($A31,[1]Offday!$A$2:$AK$18,MATCH('Planning-'!H$23,[1]Offday!$A$2:$AO$2,0))=0,$D31,VLOOKUP($A31,[1]Offday!$A$2:$AK$18,MATCH('Planning-'!H$23,[1]Offday!$A$2:$AO$2,0)))</f>
        <v>O</v>
      </c>
      <c r="I31" s="111">
        <f>IF(VLOOKUP($A31,[1]Offday!$A$2:$AK$18,MATCH('Planning-'!I$23,[1]Offday!$A$2:$AO$2,0))=0,$C31,VLOOKUP($A31,[1]Offday!$A$2:$AK$18,MATCH('Planning-'!I$23,[1]Offday!$A$2:$AO$2,0)))</f>
        <v>0.29166666666666669</v>
      </c>
      <c r="J31" s="111">
        <f>IF(VLOOKUP($A31,[1]Offday!$A$2:$AK$18,MATCH('Planning-'!J$23,[1]Offday!$A$2:$AO$2,0))=0,$E31,VLOOKUP($A31,[1]Offday!$A$2:$AK$18,MATCH('Planning-'!J$23,[1]Offday!$A$2:$AO$2,0)))</f>
        <v>0.375</v>
      </c>
      <c r="K31" s="111">
        <f>IF(VLOOKUP($A31,[1]Offday!$A$2:$AK$18,MATCH('Planning-'!K$23,[1]Offday!$A$2:$AO$2,0))=0,$D31,VLOOKUP($A31,[1]Offday!$A$2:$AK$18,MATCH('Planning-'!K$23,[1]Offday!$A$2:$AO$2,0)))</f>
        <v>0.5</v>
      </c>
      <c r="L31" s="111" t="str">
        <f>IF(VLOOKUP($A31,[1]Offday!$A$2:$AK$18,MATCH('Planning-'!L$23,[1]Offday!$A$2:$AO$2,0))=0,$F31,VLOOKUP($A31,[1]Offday!$A$2:$AK$18,MATCH('Planning-'!L$23,[1]Offday!$A$2:$AO$2,0)))</f>
        <v>O</v>
      </c>
      <c r="M31" s="120">
        <f>IF(VLOOKUP($A31,[1]Offday!$A$2:$AK$18,MATCH('Planning-'!M$23,[1]Offday!$A$2:$AO$2,0))=0,$F31,VLOOKUP($A31,[1]Offday!$A$2:$AK$18,MATCH('Planning-'!M$23,[1]Offday!$A$2:$AO$2,0)))</f>
        <v>0.5</v>
      </c>
      <c r="N31" s="111" t="str">
        <f>IF(VLOOKUP($A31,[1]Offday!$A$2:$AK$18,MATCH('Planning-'!N$23,[1]Offday!$A$2:$AO$2,0))=0,$C31,VLOOKUP($A31,[1]Offday!$A$2:$AK$18,MATCH('Planning-'!N$23,[1]Offday!$A$2:$AO$2,0)))</f>
        <v>O</v>
      </c>
      <c r="O31" s="111">
        <f>IF(VLOOKUP($A31,[1]Offday!$A$2:$AK$18,MATCH('Planning-'!O$23,[1]Offday!$A$2:$AO$2,0))=0,$D31,VLOOKUP($A31,[1]Offday!$A$2:$AK$18,MATCH('Planning-'!O$23,[1]Offday!$A$2:$AO$2,0)))</f>
        <v>0.5</v>
      </c>
      <c r="P31" s="111">
        <f>IF(VLOOKUP($A31,[1]Offday!$A$2:$AK$18,MATCH('Planning-'!P$23,[1]Offday!$A$2:$AO$2,0))=0,$C31,VLOOKUP($A31,[1]Offday!$A$2:$AK$18,MATCH('Planning-'!P$23,[1]Offday!$A$2:$AO$2,0)))</f>
        <v>0.29166666666666669</v>
      </c>
      <c r="Q31" s="111">
        <f>IF(VLOOKUP($A31,[1]Offday!$A$2:$AK$18,MATCH('Planning-'!Q$23,[1]Offday!$A$2:$AO$2,0))=0,$C31,VLOOKUP($A31,[1]Offday!$A$2:$AK$18,MATCH('Planning-'!Q$23,[1]Offday!$A$2:$AO$2,0)))</f>
        <v>0.29166666666666669</v>
      </c>
      <c r="R31" s="111">
        <f>IF(VLOOKUP($A31,[1]Offday!$A$2:$AK$18,MATCH('Planning-'!R$23,[1]Offday!$A$2:$AO$2,0))=0,$D31,VLOOKUP($A31,[1]Offday!$A$2:$AK$18,MATCH('Planning-'!R$23,[1]Offday!$A$2:$AO$2,0)))</f>
        <v>0.5</v>
      </c>
      <c r="S31" s="111">
        <f>IF(VLOOKUP($A31,[1]Offday!$A$2:$AK$18,MATCH('Planning-'!S$23,[1]Offday!$A$2:$AO$2,0))=0,$F31,VLOOKUP($A31,[1]Offday!$A$2:$AK$18,MATCH('Planning-'!S$23,[1]Offday!$A$2:$AO$2,0)))</f>
        <v>0.5</v>
      </c>
      <c r="T31" s="120" t="str">
        <f>IF(VLOOKUP($A31,[1]Offday!$A$2:$AK$18,MATCH('Planning-'!T$23,[1]Offday!$A$2:$AO$2,0))=0,$F31,VLOOKUP($A31,[1]Offday!$A$2:$AK$18,MATCH('Planning-'!T$23,[1]Offday!$A$2:$AO$2,0)))</f>
        <v>O</v>
      </c>
      <c r="U31" s="111">
        <f>IF(VLOOKUP($A31,[1]Offday!$A$2:$AK$18,MATCH('Planning-'!U$23,[1]Offday!$A$2:$AO$2,0))=0,$C31,VLOOKUP($A31,[1]Offday!$A$2:$AK$18,MATCH('Planning-'!U$23,[1]Offday!$A$2:$AO$2,0)))</f>
        <v>0.29166666666666669</v>
      </c>
      <c r="V31" s="111">
        <f>IF(VLOOKUP($A31,[1]Offday!$A$2:$AK$18,MATCH('Planning-'!V$23,[1]Offday!$A$2:$AO$2,0))=0,$C31,VLOOKUP($A31,[1]Offday!$A$2:$AK$18,MATCH('Planning-'!V$23,[1]Offday!$A$2:$AO$2,0)))</f>
        <v>0.29166666666666669</v>
      </c>
      <c r="W31" s="111">
        <f>IF(VLOOKUP($A31,[1]Offday!$A$2:$AK$18,MATCH('Planning-'!W$23,[1]Offday!$A$2:$AO$2,0))=0,$C31,VLOOKUP($A31,[1]Offday!$A$2:$AK$18,MATCH('Planning-'!W$23,[1]Offday!$A$2:$AO$2,0)))</f>
        <v>0.29166666666666669</v>
      </c>
      <c r="X31" s="111">
        <f>IF(VLOOKUP($A31,[1]Offday!$A$2:$AK$18,MATCH('Planning-'!X$23,[1]Offday!$A$2:$AO$2,0))=0,$E31,VLOOKUP($A31,[1]Offday!$A$2:$AK$18,MATCH('Planning-'!X$23,[1]Offday!$A$2:$AO$2,0)))</f>
        <v>0.375</v>
      </c>
      <c r="Y31" s="111">
        <f>IF(VLOOKUP($A31,[1]Offday!$A$2:$AK$18,MATCH('Planning-'!Y$23,[1]Offday!$A$2:$AO$2,0))=0,$E31,VLOOKUP($A31,[1]Offday!$A$2:$AK$18,MATCH('Planning-'!Y$23,[1]Offday!$A$2:$AO$2,0)))</f>
        <v>0.375</v>
      </c>
      <c r="Z31" s="111">
        <f>IF(VLOOKUP($A31,[1]Offday!$A$2:$AK$18,MATCH('Planning-'!Z$23,[1]Offday!$A$2:$AO$2,0))=0,$F31,VLOOKUP($A31,[1]Offday!$A$2:$AK$18,MATCH('Planning-'!Z$23,[1]Offday!$A$2:$AO$2,0)))</f>
        <v>0.5</v>
      </c>
      <c r="AA31" s="120">
        <f>IF(VLOOKUP($A31,[1]Offday!$A$2:$AK$18,MATCH('Planning-'!AA$23,[1]Offday!$A$2:$AO$2,0))=0,$F31,VLOOKUP($A31,[1]Offday!$A$2:$AK$18,MATCH('Planning-'!AA$23,[1]Offday!$A$2:$AO$2,0)))</f>
        <v>0.5</v>
      </c>
      <c r="AB31" s="111">
        <f>IF(VLOOKUP($A31,[1]Offday!$A$2:$AK$18,MATCH('Planning-'!AB$23,[1]Offday!$A$2:$AO$2,0))=0,$C31,VLOOKUP($A31,[1]Offday!$A$2:$AK$18,MATCH('Planning-'!AB$23,[1]Offday!$A$2:$AO$2,0)))</f>
        <v>0.29166666666666669</v>
      </c>
      <c r="AC31" s="111">
        <f>IF(VLOOKUP($A31,[1]Offday!$A$2:$AK$18,MATCH('Planning-'!AC$23,[1]Offday!$A$2:$AO$2,0))=0,$C31,VLOOKUP($A31,[1]Offday!$A$2:$AK$18,MATCH('Planning-'!AC$23,[1]Offday!$A$2:$AO$2,0)))</f>
        <v>0.29166666666666669</v>
      </c>
      <c r="AD31" s="111">
        <f>IF(VLOOKUP($A31,[1]Offday!$A$2:$AK$18,MATCH('Planning-'!AD$23,[1]Offday!$A$2:$AO$2,0))=0,$C31,VLOOKUP($A31,[1]Offday!$A$2:$AK$18,MATCH('Planning-'!AD$23,[1]Offday!$A$2:$AO$2,0)))</f>
        <v>0.29166666666666669</v>
      </c>
      <c r="AE31" s="111">
        <f>IF(VLOOKUP($A31,[1]Offday!$A$2:$AK$18,MATCH('Planning-'!AE$23,[1]Offday!$A$2:$AO$2,0))=0,$E31,VLOOKUP($A31,[1]Offday!$A$2:$AK$18,MATCH('Planning-'!AE$23,[1]Offday!$A$2:$AO$2,0)))</f>
        <v>0.375</v>
      </c>
      <c r="AF31" s="111">
        <f>IF(VLOOKUP($A31,[1]Offday!$A$2:$AK$18,MATCH('Planning-'!AF$23,[1]Offday!$A$2:$AO$2,0))=0,$E31,VLOOKUP($A31,[1]Offday!$A$2:$AK$18,MATCH('Planning-'!AF$23,[1]Offday!$A$2:$AO$2,0)))</f>
        <v>0.375</v>
      </c>
      <c r="AG31" s="111">
        <f>IF(VLOOKUP($A31,[1]Offday!$A$2:$AK$18,MATCH('Planning-'!AG$23,[1]Offday!$A$2:$AO$2,0))=0,$F31,VLOOKUP($A31,[1]Offday!$A$2:$AK$18,MATCH('Planning-'!AG$23,[1]Offday!$A$2:$AO$2,0)))</f>
        <v>0.5</v>
      </c>
      <c r="AH31" s="120">
        <f>IF(VLOOKUP($A31,[1]Offday!$A$2:$AK$18,MATCH('Planning-'!AH$23,[1]Offday!$A$2:$AO$2,0))=0,$F31,VLOOKUP($A31,[1]Offday!$A$2:$AK$18,MATCH('Planning-'!AH$23,[1]Offday!$A$2:$AO$2,0)))</f>
        <v>0.5</v>
      </c>
      <c r="AI31" s="111">
        <f>IF(VLOOKUP($A31,[1]Offday!$A$2:$AK$18,MATCH('Planning-'!AI$23,[1]Offday!$A$2:$AO$2,0))=0,$C31,VLOOKUP($A31,[1]Offday!$A$2:$AK$18,MATCH('Planning-'!AI$23,[1]Offday!$A$2:$AO$2,0)))</f>
        <v>0.29166666666666669</v>
      </c>
      <c r="AJ31" s="111">
        <f>IF(VLOOKUP($A31,[1]Offday!$A$2:$AK$18,MATCH('Planning-'!AJ$23,[1]Offday!$A$2:$AO$2,0))=0,$C31,VLOOKUP($A31,[1]Offday!$A$2:$AK$18,MATCH('Planning-'!AJ$23,[1]Offday!$A$2:$AO$2,0)))</f>
        <v>0.29166666666666669</v>
      </c>
      <c r="AK31" s="111">
        <f>IF(VLOOKUP($A31,[1]Offday!$A$2:$AK$18,MATCH('Planning-'!AK$23,[1]Offday!$A$2:$AO$2,0))=0,$C31,VLOOKUP($A31,[1]Offday!$A$2:$AK$18,MATCH('Planning-'!AK$23,[1]Offday!$A$2:$AO$2,0)))</f>
        <v>0.29166666666666669</v>
      </c>
      <c r="AL31" s="113">
        <f t="shared" si="4"/>
        <v>4</v>
      </c>
      <c r="AM31" s="114">
        <f t="shared" si="2"/>
        <v>1</v>
      </c>
      <c r="AN31" s="114">
        <f t="shared" si="3"/>
        <v>5</v>
      </c>
      <c r="AO31" s="115">
        <f t="shared" si="5"/>
        <v>4</v>
      </c>
    </row>
    <row r="32" spans="1:41" x14ac:dyDescent="0.25">
      <c r="A32" s="121">
        <v>9</v>
      </c>
      <c r="B32" s="108" t="str">
        <f>+[1]Offday!B11</f>
        <v>BAWA Zaïdatou</v>
      </c>
      <c r="C32" s="118">
        <f>+[1]Offday!C11</f>
        <v>0.375</v>
      </c>
      <c r="D32" s="118">
        <f>+[1]Offday!D11</f>
        <v>0.5</v>
      </c>
      <c r="E32" s="118">
        <f>+[1]Offday!E11</f>
        <v>0.29166666666666669</v>
      </c>
      <c r="F32" s="119">
        <f>+[1]Offday!F11</f>
        <v>0.29166666666666669</v>
      </c>
      <c r="G32" s="111">
        <f>IF(VLOOKUP($A32,[1]Offday!$A$2:$AK$18,MATCH('Planning-'!G$23,[1]Offday!$A$2:$AO$2,0))=0,$C32,VLOOKUP($A32,[1]Offday!$A$2:$AK$18,MATCH('Planning-'!G$23,[1]Offday!$A$2:$AO$2,0)))</f>
        <v>0.375</v>
      </c>
      <c r="H32" s="111">
        <f>IF(VLOOKUP($A32,[1]Offday!$A$2:$AK$18,MATCH('Planning-'!H$23,[1]Offday!$A$2:$AO$2,0))=0,$D32,VLOOKUP($A32,[1]Offday!$A$2:$AK$18,MATCH('Planning-'!H$23,[1]Offday!$A$2:$AO$2,0)))</f>
        <v>0.5</v>
      </c>
      <c r="I32" s="111" t="str">
        <f>IF(VLOOKUP($A32,[1]Offday!$A$2:$AK$18,MATCH('Planning-'!I$23,[1]Offday!$A$2:$AO$2,0))=0,$D32,VLOOKUP($A32,[1]Offday!$A$2:$AK$18,MATCH('Planning-'!I$23,[1]Offday!$A$2:$AO$2,0)))</f>
        <v>O</v>
      </c>
      <c r="J32" s="111">
        <f>IF(VLOOKUP($A32,[1]Offday!$A$2:$AK$18,MATCH('Planning-'!J$23,[1]Offday!$A$2:$AO$2,0))=0,$E32,VLOOKUP($A32,[1]Offday!$A$2:$AK$18,MATCH('Planning-'!J$23,[1]Offday!$A$2:$AO$2,0)))</f>
        <v>0.29166666666666669</v>
      </c>
      <c r="K32" s="111">
        <f>IF(VLOOKUP($A32,[1]Offday!$A$2:$AK$18,MATCH('Planning-'!K$23,[1]Offday!$A$2:$AO$2,0))=0,$D32,VLOOKUP($A32,[1]Offday!$A$2:$AK$18,MATCH('Planning-'!K$23,[1]Offday!$A$2:$AO$2,0)))</f>
        <v>0.5</v>
      </c>
      <c r="L32" s="111">
        <f>IF(VLOOKUP($A32,[1]Offday!$A$2:$AK$18,MATCH('Planning-'!L$23,[1]Offday!$A$2:$AO$2,0))=0,$F32,VLOOKUP($A32,[1]Offday!$A$2:$AK$18,MATCH('Planning-'!L$23,[1]Offday!$A$2:$AO$2,0)))</f>
        <v>0.29166666666666669</v>
      </c>
      <c r="M32" s="120" t="str">
        <f>IF(VLOOKUP($A32,[1]Offday!$A$2:$AK$18,MATCH('Planning-'!M$23,[1]Offday!$A$2:$AO$2,0))=0,$F32,VLOOKUP($A32,[1]Offday!$A$2:$AK$18,MATCH('Planning-'!M$23,[1]Offday!$A$2:$AO$2,0)))</f>
        <v>O</v>
      </c>
      <c r="N32" s="111">
        <f>IF(VLOOKUP($A32,[1]Offday!$A$2:$AK$18,MATCH('Planning-'!N$23,[1]Offday!$A$2:$AO$2,0))=0,$C32,VLOOKUP($A32,[1]Offday!$A$2:$AK$18,MATCH('Planning-'!N$23,[1]Offday!$A$2:$AO$2,0)))</f>
        <v>0.375</v>
      </c>
      <c r="O32" s="111" t="str">
        <f>IF(VLOOKUP($A32,[1]Offday!$A$2:$AK$18,MATCH('Planning-'!O$23,[1]Offday!$A$2:$AO$2,0))=0,$D32,VLOOKUP($A32,[1]Offday!$A$2:$AK$18,MATCH('Planning-'!O$23,[1]Offday!$A$2:$AO$2,0)))</f>
        <v>O</v>
      </c>
      <c r="P32" s="111">
        <f>IF(VLOOKUP($A32,[1]Offday!$A$2:$AK$18,MATCH('Planning-'!P$23,[1]Offday!$A$2:$AO$2,0))=0,$E32,VLOOKUP($A32,[1]Offday!$A$2:$AK$18,MATCH('Planning-'!P$23,[1]Offday!$A$2:$AO$2,0)))</f>
        <v>0.29166666666666669</v>
      </c>
      <c r="Q32" s="111" t="str">
        <f>IF(VLOOKUP($A32,[1]Offday!$A$2:$AK$18,MATCH('Planning-'!Q$23,[1]Offday!$A$2:$AO$2,0))=0,$E32,VLOOKUP($A32,[1]Offday!$A$2:$AK$18,MATCH('Planning-'!Q$23,[1]Offday!$A$2:$AO$2,0)))</f>
        <v>O</v>
      </c>
      <c r="R32" s="111">
        <f>IF(VLOOKUP($A32,[1]Offday!$A$2:$AK$18,MATCH('Planning-'!R$23,[1]Offday!$A$2:$AO$2,0))=0,$E32,VLOOKUP($A32,[1]Offday!$A$2:$AK$18,MATCH('Planning-'!R$23,[1]Offday!$A$2:$AO$2,0)))</f>
        <v>0.29166666666666669</v>
      </c>
      <c r="S32" s="111">
        <f>IF(VLOOKUP($A32,[1]Offday!$A$2:$AK$18,MATCH('Planning-'!S$23,[1]Offday!$A$2:$AO$2,0))=0,$F32,VLOOKUP($A32,[1]Offday!$A$2:$AK$18,MATCH('Planning-'!S$23,[1]Offday!$A$2:$AO$2,0)))</f>
        <v>0.29166666666666669</v>
      </c>
      <c r="T32" s="120">
        <f>IF(VLOOKUP($A32,[1]Offday!$A$2:$AK$18,MATCH('Planning-'!T$23,[1]Offday!$A$2:$AO$2,0))=0,$F32,VLOOKUP($A32,[1]Offday!$A$2:$AK$18,MATCH('Planning-'!T$23,[1]Offday!$A$2:$AO$2,0)))</f>
        <v>0.29166666666666669</v>
      </c>
      <c r="U32" s="111">
        <f>IF(VLOOKUP($A32,[1]Offday!$A$2:$AK$18,MATCH('Planning-'!U$23,[1]Offday!$A$2:$AO$2,0))=0,$C32,VLOOKUP($A32,[1]Offday!$A$2:$AK$18,MATCH('Planning-'!U$23,[1]Offday!$A$2:$AO$2,0)))</f>
        <v>0.375</v>
      </c>
      <c r="V32" s="111">
        <f>IF(VLOOKUP($A32,[1]Offday!$A$2:$AK$18,MATCH('Planning-'!V$23,[1]Offday!$A$2:$AO$2,0))=0,$C32,VLOOKUP($A32,[1]Offday!$A$2:$AK$18,MATCH('Planning-'!V$23,[1]Offday!$A$2:$AO$2,0)))</f>
        <v>0.375</v>
      </c>
      <c r="W32" s="111">
        <f>IF(VLOOKUP($A32,[1]Offday!$A$2:$AK$18,MATCH('Planning-'!W$23,[1]Offday!$A$2:$AO$2,0))=0,$C32,VLOOKUP($A32,[1]Offday!$A$2:$AK$18,MATCH('Planning-'!W$23,[1]Offday!$A$2:$AO$2,0)))</f>
        <v>0.375</v>
      </c>
      <c r="X32" s="111">
        <f>IF(VLOOKUP($A32,[1]Offday!$A$2:$AK$18,MATCH('Planning-'!X$23,[1]Offday!$A$2:$AO$2,0))=0,$E32,VLOOKUP($A32,[1]Offday!$A$2:$AK$18,MATCH('Planning-'!X$23,[1]Offday!$A$2:$AO$2,0)))</f>
        <v>0.29166666666666669</v>
      </c>
      <c r="Y32" s="111">
        <f>IF(VLOOKUP($A32,[1]Offday!$A$2:$AK$18,MATCH('Planning-'!Y$23,[1]Offday!$A$2:$AO$2,0))=0,$E32,VLOOKUP($A32,[1]Offday!$A$2:$AK$18,MATCH('Planning-'!Y$23,[1]Offday!$A$2:$AO$2,0)))</f>
        <v>0.29166666666666669</v>
      </c>
      <c r="Z32" s="111">
        <f>IF(VLOOKUP($A32,[1]Offday!$A$2:$AK$18,MATCH('Planning-'!Z$23,[1]Offday!$A$2:$AO$2,0))=0,$F32,VLOOKUP($A32,[1]Offday!$A$2:$AK$18,MATCH('Planning-'!Z$23,[1]Offday!$A$2:$AO$2,0)))</f>
        <v>0.29166666666666669</v>
      </c>
      <c r="AA32" s="120">
        <f>IF(VLOOKUP($A32,[1]Offday!$A$2:$AK$18,MATCH('Planning-'!AA$23,[1]Offday!$A$2:$AO$2,0))=0,$F32,VLOOKUP($A32,[1]Offday!$A$2:$AK$18,MATCH('Planning-'!AA$23,[1]Offday!$A$2:$AO$2,0)))</f>
        <v>0.29166666666666669</v>
      </c>
      <c r="AB32" s="111">
        <f>IF(VLOOKUP($A32,[1]Offday!$A$2:$AK$18,MATCH('Planning-'!AB$23,[1]Offday!$A$2:$AO$2,0))=0,$C32,VLOOKUP($A32,[1]Offday!$A$2:$AK$18,MATCH('Planning-'!AB$23,[1]Offday!$A$2:$AO$2,0)))</f>
        <v>0.375</v>
      </c>
      <c r="AC32" s="111">
        <f>IF(VLOOKUP($A32,[1]Offday!$A$2:$AK$18,MATCH('Planning-'!AC$23,[1]Offday!$A$2:$AO$2,0))=0,$C32,VLOOKUP($A32,[1]Offday!$A$2:$AK$18,MATCH('Planning-'!AC$23,[1]Offday!$A$2:$AO$2,0)))</f>
        <v>0.375</v>
      </c>
      <c r="AD32" s="111">
        <f>IF(VLOOKUP($A32,[1]Offday!$A$2:$AK$18,MATCH('Planning-'!AD$23,[1]Offday!$A$2:$AO$2,0))=0,$C32,VLOOKUP($A32,[1]Offday!$A$2:$AK$18,MATCH('Planning-'!AD$23,[1]Offday!$A$2:$AO$2,0)))</f>
        <v>0.375</v>
      </c>
      <c r="AE32" s="111">
        <f>IF(VLOOKUP($A32,[1]Offday!$A$2:$AK$18,MATCH('Planning-'!AE$23,[1]Offday!$A$2:$AO$2,0))=0,$E32,VLOOKUP($A32,[1]Offday!$A$2:$AK$18,MATCH('Planning-'!AE$23,[1]Offday!$A$2:$AO$2,0)))</f>
        <v>0.29166666666666669</v>
      </c>
      <c r="AF32" s="111">
        <f>IF(VLOOKUP($A32,[1]Offday!$A$2:$AK$18,MATCH('Planning-'!AF$23,[1]Offday!$A$2:$AO$2,0))=0,$E32,VLOOKUP($A32,[1]Offday!$A$2:$AK$18,MATCH('Planning-'!AF$23,[1]Offday!$A$2:$AO$2,0)))</f>
        <v>0.29166666666666669</v>
      </c>
      <c r="AG32" s="111">
        <f>IF(VLOOKUP($A32,[1]Offday!$A$2:$AK$18,MATCH('Planning-'!AG$23,[1]Offday!$A$2:$AO$2,0))=0,$F32,VLOOKUP($A32,[1]Offday!$A$2:$AK$18,MATCH('Planning-'!AG$23,[1]Offday!$A$2:$AO$2,0)))</f>
        <v>0.29166666666666669</v>
      </c>
      <c r="AH32" s="120">
        <f>IF(VLOOKUP($A32,[1]Offday!$A$2:$AK$18,MATCH('Planning-'!AH$23,[1]Offday!$A$2:$AO$2,0))=0,$F32,VLOOKUP($A32,[1]Offday!$A$2:$AK$18,MATCH('Planning-'!AH$23,[1]Offday!$A$2:$AO$2,0)))</f>
        <v>0.29166666666666669</v>
      </c>
      <c r="AI32" s="111">
        <f>IF(VLOOKUP($A32,[1]Offday!$A$2:$AK$18,MATCH('Planning-'!AI$23,[1]Offday!$A$2:$AO$2,0))=0,$C32,VLOOKUP($A32,[1]Offday!$A$2:$AK$18,MATCH('Planning-'!AI$23,[1]Offday!$A$2:$AO$2,0)))</f>
        <v>0.375</v>
      </c>
      <c r="AJ32" s="111">
        <f>IF(VLOOKUP($A32,[1]Offday!$A$2:$AK$18,MATCH('Planning-'!AJ$23,[1]Offday!$A$2:$AO$2,0))=0,$C32,VLOOKUP($A32,[1]Offday!$A$2:$AK$18,MATCH('Planning-'!AJ$23,[1]Offday!$A$2:$AO$2,0)))</f>
        <v>0.375</v>
      </c>
      <c r="AK32" s="111">
        <f>IF(VLOOKUP($A32,[1]Offday!$A$2:$AK$18,MATCH('Planning-'!AK$23,[1]Offday!$A$2:$AO$2,0))=0,$C32,VLOOKUP($A32,[1]Offday!$A$2:$AK$18,MATCH('Planning-'!AK$23,[1]Offday!$A$2:$AO$2,0)))</f>
        <v>0.375</v>
      </c>
      <c r="AL32" s="113">
        <f t="shared" si="4"/>
        <v>6</v>
      </c>
      <c r="AM32" s="114">
        <f t="shared" si="2"/>
        <v>2</v>
      </c>
      <c r="AN32" s="114">
        <f t="shared" si="3"/>
        <v>2</v>
      </c>
      <c r="AO32" s="115">
        <f t="shared" si="5"/>
        <v>4</v>
      </c>
    </row>
    <row r="33" spans="1:41" x14ac:dyDescent="0.25">
      <c r="A33" s="117">
        <v>10</v>
      </c>
      <c r="B33" s="108" t="str">
        <f>+[1]Offday!B12</f>
        <v>ATUTONU Ami Beatrice</v>
      </c>
      <c r="C33" s="118">
        <f>+[1]Offday!C12</f>
        <v>0.375</v>
      </c>
      <c r="D33" s="118">
        <f>+[1]Offday!D12</f>
        <v>0.5</v>
      </c>
      <c r="E33" s="118">
        <f>+[1]Offday!E12</f>
        <v>0.29166666666666669</v>
      </c>
      <c r="F33" s="119">
        <f>+[1]Offday!F12</f>
        <v>0.29166666666666669</v>
      </c>
      <c r="G33" s="111">
        <f>IF(VLOOKUP($A33,[1]Offday!$A$2:$AK$18,MATCH('Planning-'!G$23,[1]Offday!$A$2:$AO$2,0))=0,$E33,VLOOKUP($A33,[1]Offday!$A$2:$AK$18,MATCH('Planning-'!G$23,[1]Offday!$A$2:$AO$2,0)))</f>
        <v>0.29166666666666669</v>
      </c>
      <c r="H33" s="111">
        <f>IF(VLOOKUP($A33,[1]Offday!$A$2:$AK$18,MATCH('Planning-'!H$23,[1]Offday!$A$2:$AO$2,0))=0,$E33,VLOOKUP($A33,[1]Offday!$A$2:$AK$18,MATCH('Planning-'!H$23,[1]Offday!$A$2:$AO$2,0)))</f>
        <v>0.29166666666666669</v>
      </c>
      <c r="I33" s="111">
        <f>IF(VLOOKUP($A33,[1]Offday!$A$2:$AK$18,MATCH('Planning-'!I$23,[1]Offday!$A$2:$AO$2,0))=0,$D33,VLOOKUP($A33,[1]Offday!$A$2:$AK$18,MATCH('Planning-'!I$23,[1]Offday!$A$2:$AO$2,0)))</f>
        <v>0.5</v>
      </c>
      <c r="J33" s="111" t="str">
        <f>IF(VLOOKUP($A33,[1]Offday!$A$2:$AK$18,MATCH('Planning-'!J$23,[1]Offday!$A$2:$AO$2,0))=0,$D33,VLOOKUP($A33,[1]Offday!$A$2:$AK$18,MATCH('Planning-'!J$23,[1]Offday!$A$2:$AO$2,0)))</f>
        <v>O</v>
      </c>
      <c r="K33" s="111">
        <f>IF(VLOOKUP($A33,[1]Offday!$A$2:$AK$18,MATCH('Planning-'!K$23,[1]Offday!$A$2:$AO$2,0))=0,$E33,VLOOKUP($A33,[1]Offday!$A$2:$AK$18,MATCH('Planning-'!K$23,[1]Offday!$A$2:$AO$2,0)))</f>
        <v>0.29166666666666669</v>
      </c>
      <c r="L33" s="111" t="str">
        <f>IF(VLOOKUP($A33,[1]Offday!$A$2:$AK$18,MATCH('Planning-'!L$23,[1]Offday!$A$2:$AO$2,0))=0,$F33,VLOOKUP($A33,[1]Offday!$A$2:$AK$18,MATCH('Planning-'!L$23,[1]Offday!$A$2:$AO$2,0)))</f>
        <v>O</v>
      </c>
      <c r="M33" s="120">
        <f>IF(VLOOKUP($A33,[1]Offday!$A$2:$AK$18,MATCH('Planning-'!M$23,[1]Offday!$A$2:$AO$2,0))=0,$D33,VLOOKUP($A33,[1]Offday!$A$2:$AK$18,MATCH('Planning-'!M$23,[1]Offday!$A$2:$AO$2,0)))</f>
        <v>0.5</v>
      </c>
      <c r="N33" s="111">
        <f>IF(VLOOKUP($A33,[1]Offday!$A$2:$AK$18,MATCH('Planning-'!N$23,[1]Offday!$A$2:$AO$2,0))=0,$D33,VLOOKUP($A33,[1]Offday!$A$2:$AK$18,MATCH('Planning-'!N$23,[1]Offday!$A$2:$AO$2,0)))</f>
        <v>0.5</v>
      </c>
      <c r="O33" s="111">
        <f>IF(VLOOKUP($A33,[1]Offday!$A$2:$AK$18,MATCH('Planning-'!O$23,[1]Offday!$A$2:$AO$2,0))=0,$D33,VLOOKUP($A33,[1]Offday!$A$2:$AK$18,MATCH('Planning-'!O$23,[1]Offday!$A$2:$AO$2,0)))</f>
        <v>0.5</v>
      </c>
      <c r="P33" s="111">
        <f>IF(VLOOKUP($A33,[1]Offday!$A$2:$AK$18,MATCH('Planning-'!P$23,[1]Offday!$A$2:$AO$2,0))=0,$E33,VLOOKUP($A33,[1]Offday!$A$2:$AK$18,MATCH('Planning-'!P$23,[1]Offday!$A$2:$AO$2,0)))</f>
        <v>0.29166666666666669</v>
      </c>
      <c r="Q33" s="111">
        <f>IF(VLOOKUP($A33,[1]Offday!$A$2:$AK$18,MATCH('Planning-'!Q$23,[1]Offday!$A$2:$AO$2,0))=0,$E33,VLOOKUP($A33,[1]Offday!$A$2:$AK$18,MATCH('Planning-'!Q$23,[1]Offday!$A$2:$AO$2,0)))</f>
        <v>0.29166666666666669</v>
      </c>
      <c r="R33" s="111" t="str">
        <f>IF(VLOOKUP($A33,[1]Offday!$A$2:$AK$18,MATCH('Planning-'!R$23,[1]Offday!$A$2:$AO$2,0))=0,$E33,VLOOKUP($A33,[1]Offday!$A$2:$AK$18,MATCH('Planning-'!R$23,[1]Offday!$A$2:$AO$2,0)))</f>
        <v>O</v>
      </c>
      <c r="S33" s="111">
        <f>IF(VLOOKUP($A33,[1]Offday!$A$2:$AK$18,MATCH('Planning-'!S$23,[1]Offday!$A$2:$AO$2,0))=0,$F33,VLOOKUP($A33,[1]Offday!$A$2:$AK$18,MATCH('Planning-'!S$23,[1]Offday!$A$2:$AO$2,0)))</f>
        <v>0.29166666666666669</v>
      </c>
      <c r="T33" s="120" t="str">
        <f>IF(VLOOKUP($A33,[1]Offday!$A$2:$AK$18,MATCH('Planning-'!T$23,[1]Offday!$A$2:$AO$2,0))=0,$D33,VLOOKUP($A33,[1]Offday!$A$2:$AK$18,MATCH('Planning-'!T$23,[1]Offday!$A$2:$AO$2,0)))</f>
        <v>O</v>
      </c>
      <c r="U33" s="111">
        <f>IF(VLOOKUP($A33,[1]Offday!$A$2:$AK$18,MATCH('Planning-'!U$23,[1]Offday!$A$2:$AO$2,0))=0,$C33,VLOOKUP($A33,[1]Offday!$A$2:$AK$18,MATCH('Planning-'!U$23,[1]Offday!$A$2:$AO$2,0)))</f>
        <v>0.375</v>
      </c>
      <c r="V33" s="111">
        <f>IF(VLOOKUP($A33,[1]Offday!$A$2:$AK$18,MATCH('Planning-'!V$23,[1]Offday!$A$2:$AO$2,0))=0,$C33,VLOOKUP($A33,[1]Offday!$A$2:$AK$18,MATCH('Planning-'!V$23,[1]Offday!$A$2:$AO$2,0)))</f>
        <v>0.375</v>
      </c>
      <c r="W33" s="111">
        <f>IF(VLOOKUP($A33,[1]Offday!$A$2:$AK$18,MATCH('Planning-'!W$23,[1]Offday!$A$2:$AO$2,0))=0,$C33,VLOOKUP($A33,[1]Offday!$A$2:$AK$18,MATCH('Planning-'!W$23,[1]Offday!$A$2:$AO$2,0)))</f>
        <v>0.375</v>
      </c>
      <c r="X33" s="111">
        <f>IF(VLOOKUP($A33,[1]Offday!$A$2:$AK$18,MATCH('Planning-'!X$23,[1]Offday!$A$2:$AO$2,0))=0,$E33,VLOOKUP($A33,[1]Offday!$A$2:$AK$18,MATCH('Planning-'!X$23,[1]Offday!$A$2:$AO$2,0)))</f>
        <v>0.29166666666666669</v>
      </c>
      <c r="Y33" s="111">
        <f>IF(VLOOKUP($A33,[1]Offday!$A$2:$AK$18,MATCH('Planning-'!Y$23,[1]Offday!$A$2:$AO$2,0))=0,$E33,VLOOKUP($A33,[1]Offday!$A$2:$AK$18,MATCH('Planning-'!Y$23,[1]Offday!$A$2:$AO$2,0)))</f>
        <v>0.29166666666666669</v>
      </c>
      <c r="Z33" s="111">
        <f>IF(VLOOKUP($A33,[1]Offday!$A$2:$AK$18,MATCH('Planning-'!Z$23,[1]Offday!$A$2:$AO$2,0))=0,$F33,VLOOKUP($A33,[1]Offday!$A$2:$AK$18,MATCH('Planning-'!Z$23,[1]Offday!$A$2:$AO$2,0)))</f>
        <v>0.29166666666666669</v>
      </c>
      <c r="AA33" s="120">
        <f>IF(VLOOKUP($A33,[1]Offday!$A$2:$AK$18,MATCH('Planning-'!AA$23,[1]Offday!$A$2:$AO$2,0))=0,$F33,VLOOKUP($A33,[1]Offday!$A$2:$AK$18,MATCH('Planning-'!AA$23,[1]Offday!$A$2:$AO$2,0)))</f>
        <v>0.29166666666666669</v>
      </c>
      <c r="AB33" s="111">
        <f>IF(VLOOKUP($A33,[1]Offday!$A$2:$AK$18,MATCH('Planning-'!AB$23,[1]Offday!$A$2:$AO$2,0))=0,$C33,VLOOKUP($A33,[1]Offday!$A$2:$AK$18,MATCH('Planning-'!AB$23,[1]Offday!$A$2:$AO$2,0)))</f>
        <v>0.375</v>
      </c>
      <c r="AC33" s="111">
        <f>IF(VLOOKUP($A33,[1]Offday!$A$2:$AK$18,MATCH('Planning-'!AC$23,[1]Offday!$A$2:$AO$2,0))=0,$C33,VLOOKUP($A33,[1]Offday!$A$2:$AK$18,MATCH('Planning-'!AC$23,[1]Offday!$A$2:$AO$2,0)))</f>
        <v>0.375</v>
      </c>
      <c r="AD33" s="111">
        <f>IF(VLOOKUP($A33,[1]Offday!$A$2:$AK$18,MATCH('Planning-'!AD$23,[1]Offday!$A$2:$AO$2,0))=0,$C33,VLOOKUP($A33,[1]Offday!$A$2:$AK$18,MATCH('Planning-'!AD$23,[1]Offday!$A$2:$AO$2,0)))</f>
        <v>0.375</v>
      </c>
      <c r="AE33" s="111">
        <f>IF(VLOOKUP($A33,[1]Offday!$A$2:$AK$18,MATCH('Planning-'!AE$23,[1]Offday!$A$2:$AO$2,0))=0,$E33,VLOOKUP($A33,[1]Offday!$A$2:$AK$18,MATCH('Planning-'!AE$23,[1]Offday!$A$2:$AO$2,0)))</f>
        <v>0.29166666666666669</v>
      </c>
      <c r="AF33" s="111">
        <f>IF(VLOOKUP($A33,[1]Offday!$A$2:$AK$18,MATCH('Planning-'!AF$23,[1]Offday!$A$2:$AO$2,0))=0,$E33,VLOOKUP($A33,[1]Offday!$A$2:$AK$18,MATCH('Planning-'!AF$23,[1]Offday!$A$2:$AO$2,0)))</f>
        <v>0.29166666666666669</v>
      </c>
      <c r="AG33" s="111">
        <f>IF(VLOOKUP($A33,[1]Offday!$A$2:$AK$18,MATCH('Planning-'!AG$23,[1]Offday!$A$2:$AO$2,0))=0,$F33,VLOOKUP($A33,[1]Offday!$A$2:$AK$18,MATCH('Planning-'!AG$23,[1]Offday!$A$2:$AO$2,0)))</f>
        <v>0.29166666666666669</v>
      </c>
      <c r="AH33" s="120">
        <f>IF(VLOOKUP($A33,[1]Offday!$A$2:$AK$18,MATCH('Planning-'!AH$23,[1]Offday!$A$2:$AO$2,0))=0,$F33,VLOOKUP($A33,[1]Offday!$A$2:$AK$18,MATCH('Planning-'!AH$23,[1]Offday!$A$2:$AO$2,0)))</f>
        <v>0.29166666666666669</v>
      </c>
      <c r="AI33" s="111">
        <f>IF(VLOOKUP($A33,[1]Offday!$A$2:$AK$18,MATCH('Planning-'!AI$23,[1]Offday!$A$2:$AO$2,0))=0,$C33,VLOOKUP($A33,[1]Offday!$A$2:$AK$18,MATCH('Planning-'!AI$23,[1]Offday!$A$2:$AO$2,0)))</f>
        <v>0.375</v>
      </c>
      <c r="AJ33" s="111">
        <f>IF(VLOOKUP($A33,[1]Offday!$A$2:$AK$18,MATCH('Planning-'!AJ$23,[1]Offday!$A$2:$AO$2,0))=0,$C33,VLOOKUP($A33,[1]Offday!$A$2:$AK$18,MATCH('Planning-'!AJ$23,[1]Offday!$A$2:$AO$2,0)))</f>
        <v>0.375</v>
      </c>
      <c r="AK33" s="111">
        <f>IF(VLOOKUP($A33,[1]Offday!$A$2:$AK$18,MATCH('Planning-'!AK$23,[1]Offday!$A$2:$AO$2,0))=0,$C33,VLOOKUP($A33,[1]Offday!$A$2:$AK$18,MATCH('Planning-'!AK$23,[1]Offday!$A$2:$AO$2,0)))</f>
        <v>0.375</v>
      </c>
      <c r="AL33" s="113">
        <f t="shared" si="4"/>
        <v>6</v>
      </c>
      <c r="AM33" s="114">
        <f t="shared" si="2"/>
        <v>0</v>
      </c>
      <c r="AN33" s="114">
        <f t="shared" si="3"/>
        <v>4</v>
      </c>
      <c r="AO33" s="115">
        <f t="shared" si="5"/>
        <v>4</v>
      </c>
    </row>
    <row r="34" spans="1:41" ht="15" customHeight="1" x14ac:dyDescent="0.25">
      <c r="A34" s="121">
        <v>11</v>
      </c>
      <c r="B34" s="108" t="str">
        <f>+[1]Offday!B13</f>
        <v>ALAWI Eyana</v>
      </c>
      <c r="C34" s="118">
        <f>+[1]Offday!C13</f>
        <v>0.5</v>
      </c>
      <c r="D34" s="118">
        <f>+[1]Offday!D13</f>
        <v>0.5</v>
      </c>
      <c r="E34" s="118">
        <f>+[1]Offday!E13</f>
        <v>0.29166666666666669</v>
      </c>
      <c r="F34" s="119">
        <f>+[1]Offday!F13</f>
        <v>0.375</v>
      </c>
      <c r="G34" s="111">
        <f>IF(VLOOKUP($A34,[1]Offday!$A$2:$AK$18,MATCH('Planning-'!G$23,[1]Offday!$A$2:$AO$2,0))=0,$C34,VLOOKUP($A34,[1]Offday!$A$2:$AK$18,MATCH('Planning-'!G$23,[1]Offday!$A$2:$AO$2,0)))</f>
        <v>0.5</v>
      </c>
      <c r="H34" s="111">
        <f>IF(VLOOKUP($A34,[1]Offday!$A$2:$AK$18,MATCH('Planning-'!H$23,[1]Offday!$A$2:$AO$2,0))=0,$C34,VLOOKUP($A34,[1]Offday!$A$2:$AK$18,MATCH('Planning-'!H$23,[1]Offday!$A$2:$AO$2,0)))</f>
        <v>0.5</v>
      </c>
      <c r="I34" s="111">
        <f>IF(VLOOKUP($A34,[1]Offday!$A$2:$AK$18,MATCH('Planning-'!I$23,[1]Offday!$A$2:$AO$2,0))=0,$C34,VLOOKUP($A34,[1]Offday!$A$2:$AK$18,MATCH('Planning-'!I$23,[1]Offday!$A$2:$AO$2,0)))</f>
        <v>0.5</v>
      </c>
      <c r="J34" s="111">
        <f>IF(VLOOKUP($A34,[1]Offday!$A$2:$AK$18,MATCH('Planning-'!J$23,[1]Offday!$A$2:$AO$2,0))=0,$E34,VLOOKUP($A34,[1]Offday!$A$2:$AK$18,MATCH('Planning-'!J$23,[1]Offday!$A$2:$AO$2,0)))</f>
        <v>0.29166666666666669</v>
      </c>
      <c r="K34" s="111" t="str">
        <f>IF(VLOOKUP($A34,[1]Offday!$A$2:$AK$18,MATCH('Planning-'!K$23,[1]Offday!$A$2:$AO$2,0))=0,$C34,VLOOKUP($A34,[1]Offday!$A$2:$AK$18,MATCH('Planning-'!K$23,[1]Offday!$A$2:$AO$2,0)))</f>
        <v>O</v>
      </c>
      <c r="L34" s="111" t="str">
        <f>IF(VLOOKUP($A34,[1]Offday!$A$2:$AK$18,MATCH('Planning-'!L$23,[1]Offday!$A$2:$AO$2,0))=0,$F34,VLOOKUP($A34,[1]Offday!$A$2:$AK$18,MATCH('Planning-'!L$23,[1]Offday!$A$2:$AO$2,0)))</f>
        <v>O</v>
      </c>
      <c r="M34" s="120">
        <f>IF(VLOOKUP($A34,[1]Offday!$A$2:$AK$18,MATCH('Planning-'!M$23,[1]Offday!$A$2:$AO$2,0))=0,$E34,VLOOKUP($A34,[1]Offday!$A$2:$AK$18,MATCH('Planning-'!M$23,[1]Offday!$A$2:$AO$2,0)))</f>
        <v>0.29166666666666669</v>
      </c>
      <c r="N34" s="111" t="str">
        <f>IF(VLOOKUP($A34,[1]Offday!$A$2:$AK$18,MATCH('Planning-'!N$23,[1]Offday!$A$2:$AO$2,0))=0,$C34,VLOOKUP($A34,[1]Offday!$A$2:$AK$18,MATCH('Planning-'!N$23,[1]Offday!$A$2:$AO$2,0)))</f>
        <v>O</v>
      </c>
      <c r="O34" s="111">
        <f>IF(VLOOKUP($A34,[1]Offday!$A$2:$AK$18,MATCH('Planning-'!O$23,[1]Offday!$A$2:$AO$2,0))=0,$F34,VLOOKUP($A34,[1]Offday!$A$2:$AK$18,MATCH('Planning-'!O$23,[1]Offday!$A$2:$AO$2,0)))</f>
        <v>0.375</v>
      </c>
      <c r="P34" s="111">
        <f>IF(VLOOKUP($A34,[1]Offday!$A$2:$AK$18,MATCH('Planning-'!P$23,[1]Offday!$A$2:$AO$2,0))=0,$C34,VLOOKUP($A34,[1]Offday!$A$2:$AK$18,MATCH('Planning-'!P$23,[1]Offday!$A$2:$AO$2,0)))</f>
        <v>0.5</v>
      </c>
      <c r="Q34" s="111">
        <f>IF(VLOOKUP($A34,[1]Offday!$A$2:$AK$18,MATCH('Planning-'!Q$23,[1]Offday!$A$2:$AO$2,0))=0,$E34,VLOOKUP($A34,[1]Offday!$A$2:$AK$18,MATCH('Planning-'!Q$23,[1]Offday!$A$2:$AO$2,0)))</f>
        <v>0.29166666666666669</v>
      </c>
      <c r="R34" s="111">
        <f>IF(VLOOKUP($A34,[1]Offday!$A$2:$AK$18,MATCH('Planning-'!R$23,[1]Offday!$A$2:$AO$2,0))=0,$E34,VLOOKUP($A34,[1]Offday!$A$2:$AK$18,MATCH('Planning-'!R$23,[1]Offday!$A$2:$AO$2,0)))</f>
        <v>0.29166666666666669</v>
      </c>
      <c r="S34" s="111">
        <f>IF(VLOOKUP($A34,[1]Offday!$A$2:$AK$18,MATCH('Planning-'!S$23,[1]Offday!$A$2:$AO$2,0))=0,$E34,VLOOKUP($A34,[1]Offday!$A$2:$AK$18,MATCH('Planning-'!S$23,[1]Offday!$A$2:$AO$2,0)))</f>
        <v>0.29166666666666669</v>
      </c>
      <c r="T34" s="120" t="str">
        <f>IF(VLOOKUP($A34,[1]Offday!$A$2:$AK$18,MATCH('Planning-'!T$23,[1]Offday!$A$2:$AO$2,0))=0,$F34,VLOOKUP($A34,[1]Offday!$A$2:$AK$18,MATCH('Planning-'!T$23,[1]Offday!$A$2:$AO$2,0)))</f>
        <v>O</v>
      </c>
      <c r="U34" s="111">
        <f>IF(VLOOKUP($A34,[1]Offday!$A$2:$AK$18,MATCH('Planning-'!U$23,[1]Offday!$A$2:$AO$2,0))=0,$C34,VLOOKUP($A34,[1]Offday!$A$2:$AK$18,MATCH('Planning-'!U$23,[1]Offday!$A$2:$AO$2,0)))</f>
        <v>0.5</v>
      </c>
      <c r="V34" s="111">
        <f>IF(VLOOKUP($A34,[1]Offday!$A$2:$AK$18,MATCH('Planning-'!V$23,[1]Offday!$A$2:$AO$2,0))=0,$C34,VLOOKUP($A34,[1]Offday!$A$2:$AK$18,MATCH('Planning-'!V$23,[1]Offday!$A$2:$AO$2,0)))</f>
        <v>0.5</v>
      </c>
      <c r="W34" s="111">
        <f>IF(VLOOKUP($A34,[1]Offday!$A$2:$AK$18,MATCH('Planning-'!W$23,[1]Offday!$A$2:$AO$2,0))=0,$C34,VLOOKUP($A34,[1]Offday!$A$2:$AK$18,MATCH('Planning-'!W$23,[1]Offday!$A$2:$AO$2,0)))</f>
        <v>0.5</v>
      </c>
      <c r="X34" s="111">
        <f>IF(VLOOKUP($A34,[1]Offday!$A$2:$AK$18,MATCH('Planning-'!X$23,[1]Offday!$A$2:$AO$2,0))=0,$E34,VLOOKUP($A34,[1]Offday!$A$2:$AK$18,MATCH('Planning-'!X$23,[1]Offday!$A$2:$AO$2,0)))</f>
        <v>0.29166666666666669</v>
      </c>
      <c r="Y34" s="111">
        <f>IF(VLOOKUP($A34,[1]Offday!$A$2:$AK$18,MATCH('Planning-'!Y$23,[1]Offday!$A$2:$AO$2,0))=0,$E34,VLOOKUP($A34,[1]Offday!$A$2:$AK$18,MATCH('Planning-'!Y$23,[1]Offday!$A$2:$AO$2,0)))</f>
        <v>0.29166666666666669</v>
      </c>
      <c r="Z34" s="111">
        <f>IF(VLOOKUP($A34,[1]Offday!$A$2:$AK$18,MATCH('Planning-'!Z$23,[1]Offday!$A$2:$AO$2,0))=0,$F34,VLOOKUP($A34,[1]Offday!$A$2:$AK$18,MATCH('Planning-'!Z$23,[1]Offday!$A$2:$AO$2,0)))</f>
        <v>0.375</v>
      </c>
      <c r="AA34" s="120">
        <f>IF(VLOOKUP($A34,[1]Offday!$A$2:$AK$18,MATCH('Planning-'!AA$23,[1]Offday!$A$2:$AO$2,0))=0,$F34,VLOOKUP($A34,[1]Offday!$A$2:$AK$18,MATCH('Planning-'!AA$23,[1]Offday!$A$2:$AO$2,0)))</f>
        <v>0.375</v>
      </c>
      <c r="AB34" s="111">
        <f>IF(VLOOKUP($A34,[1]Offday!$A$2:$AK$18,MATCH('Planning-'!AB$23,[1]Offday!$A$2:$AO$2,0))=0,$C34,VLOOKUP($A34,[1]Offday!$A$2:$AK$18,MATCH('Planning-'!AB$23,[1]Offday!$A$2:$AO$2,0)))</f>
        <v>0.5</v>
      </c>
      <c r="AC34" s="111">
        <f>IF(VLOOKUP($A34,[1]Offday!$A$2:$AK$18,MATCH('Planning-'!AC$23,[1]Offday!$A$2:$AO$2,0))=0,$C34,VLOOKUP($A34,[1]Offday!$A$2:$AK$18,MATCH('Planning-'!AC$23,[1]Offday!$A$2:$AO$2,0)))</f>
        <v>0.5</v>
      </c>
      <c r="AD34" s="111">
        <f>IF(VLOOKUP($A34,[1]Offday!$A$2:$AK$18,MATCH('Planning-'!AD$23,[1]Offday!$A$2:$AO$2,0))=0,$C34,VLOOKUP($A34,[1]Offday!$A$2:$AK$18,MATCH('Planning-'!AD$23,[1]Offday!$A$2:$AO$2,0)))</f>
        <v>0.5</v>
      </c>
      <c r="AE34" s="111">
        <f>IF(VLOOKUP($A34,[1]Offday!$A$2:$AK$18,MATCH('Planning-'!AE$23,[1]Offday!$A$2:$AO$2,0))=0,$E34,VLOOKUP($A34,[1]Offday!$A$2:$AK$18,MATCH('Planning-'!AE$23,[1]Offday!$A$2:$AO$2,0)))</f>
        <v>0.29166666666666669</v>
      </c>
      <c r="AF34" s="111">
        <f>IF(VLOOKUP($A34,[1]Offday!$A$2:$AK$18,MATCH('Planning-'!AF$23,[1]Offday!$A$2:$AO$2,0))=0,$E34,VLOOKUP($A34,[1]Offday!$A$2:$AK$18,MATCH('Planning-'!AF$23,[1]Offday!$A$2:$AO$2,0)))</f>
        <v>0.29166666666666669</v>
      </c>
      <c r="AG34" s="111">
        <f>IF(VLOOKUP($A34,[1]Offday!$A$2:$AK$18,MATCH('Planning-'!AG$23,[1]Offday!$A$2:$AO$2,0))=0,$F34,VLOOKUP($A34,[1]Offday!$A$2:$AK$18,MATCH('Planning-'!AG$23,[1]Offday!$A$2:$AO$2,0)))</f>
        <v>0.375</v>
      </c>
      <c r="AH34" s="120">
        <f>IF(VLOOKUP($A34,[1]Offday!$A$2:$AK$18,MATCH('Planning-'!AH$23,[1]Offday!$A$2:$AO$2,0))=0,$F34,VLOOKUP($A34,[1]Offday!$A$2:$AK$18,MATCH('Planning-'!AH$23,[1]Offday!$A$2:$AO$2,0)))</f>
        <v>0.375</v>
      </c>
      <c r="AI34" s="111">
        <f>IF(VLOOKUP($A34,[1]Offday!$A$2:$AK$18,MATCH('Planning-'!AI$23,[1]Offday!$A$2:$AO$2,0))=0,$C34,VLOOKUP($A34,[1]Offday!$A$2:$AK$18,MATCH('Planning-'!AI$23,[1]Offday!$A$2:$AO$2,0)))</f>
        <v>0.5</v>
      </c>
      <c r="AJ34" s="111">
        <f>IF(VLOOKUP($A34,[1]Offday!$A$2:$AK$18,MATCH('Planning-'!AJ$23,[1]Offday!$A$2:$AO$2,0))=0,$C34,VLOOKUP($A34,[1]Offday!$A$2:$AK$18,MATCH('Planning-'!AJ$23,[1]Offday!$A$2:$AO$2,0)))</f>
        <v>0.5</v>
      </c>
      <c r="AK34" s="111">
        <f>IF(VLOOKUP($A34,[1]Offday!$A$2:$AK$18,MATCH('Planning-'!AK$23,[1]Offday!$A$2:$AO$2,0))=0,$C34,VLOOKUP($A34,[1]Offday!$A$2:$AK$18,MATCH('Planning-'!AK$23,[1]Offday!$A$2:$AO$2,0)))</f>
        <v>0.5</v>
      </c>
      <c r="AL34" s="113">
        <f t="shared" si="4"/>
        <v>5</v>
      </c>
      <c r="AM34" s="114">
        <f t="shared" si="2"/>
        <v>1</v>
      </c>
      <c r="AN34" s="114">
        <f t="shared" si="3"/>
        <v>4</v>
      </c>
      <c r="AO34" s="115">
        <f t="shared" si="5"/>
        <v>4</v>
      </c>
    </row>
    <row r="35" spans="1:41" ht="15" customHeight="1" x14ac:dyDescent="0.25">
      <c r="A35" s="117">
        <v>12</v>
      </c>
      <c r="B35" s="108" t="str">
        <f>+[1]Offday!B14</f>
        <v>AGBEVE Ablavi Claire</v>
      </c>
      <c r="C35" s="118">
        <f>+[1]Offday!C14</f>
        <v>0.5</v>
      </c>
      <c r="D35" s="118">
        <f>+[1]Offday!D14</f>
        <v>0.29166666666666669</v>
      </c>
      <c r="E35" s="118">
        <f>+[1]Offday!E14</f>
        <v>0.5</v>
      </c>
      <c r="F35" s="119">
        <f>+[1]Offday!F14</f>
        <v>0.375</v>
      </c>
      <c r="G35" s="111">
        <f>IF(VLOOKUP($A35,[1]Offday!$A$2:$AK$18,MATCH('Planning-'!G$23,[1]Offday!$A$2:$AO$2,0))=0,$D35,VLOOKUP($A35,[1]Offday!$A$2:$AK$18,MATCH('Planning-'!G$23,[1]Offday!$A$2:$AO$2,0)))</f>
        <v>0.29166666666666669</v>
      </c>
      <c r="H35" s="111">
        <f>IF(VLOOKUP($A35,[1]Offday!$A$2:$AK$18,MATCH('Planning-'!H$23,[1]Offday!$A$2:$AO$2,0))=0,$C35,VLOOKUP($A35,[1]Offday!$A$2:$AK$18,MATCH('Planning-'!H$23,[1]Offday!$A$2:$AO$2,0)))</f>
        <v>0.5</v>
      </c>
      <c r="I35" s="111" t="str">
        <f>IF(VLOOKUP($A35,[1]Offday!$A$2:$AK$18,MATCH('Planning-'!I$23,[1]Offday!$A$2:$AO$2,0))=0,$D35,VLOOKUP($A35,[1]Offday!$A$2:$AK$18,MATCH('Planning-'!I$23,[1]Offday!$A$2:$AO$2,0)))</f>
        <v>O</v>
      </c>
      <c r="J35" s="111">
        <f>IF(VLOOKUP($A35,[1]Offday!$A$2:$AK$18,MATCH('Planning-'!J$23,[1]Offday!$A$2:$AO$2,0))=0,$E35,VLOOKUP($A35,[1]Offday!$A$2:$AK$18,MATCH('Planning-'!J$23,[1]Offday!$A$2:$AO$2,0)))</f>
        <v>0.5</v>
      </c>
      <c r="K35" s="111" t="str">
        <f>IF(VLOOKUP($A35,[1]Offday!$A$2:$AK$18,MATCH('Planning-'!K$23,[1]Offday!$A$2:$AO$2,0))=0,$E35,VLOOKUP($A35,[1]Offday!$A$2:$AK$18,MATCH('Planning-'!K$23,[1]Offday!$A$2:$AO$2,0)))</f>
        <v>O</v>
      </c>
      <c r="L35" s="111">
        <f>IF(VLOOKUP($A35,[1]Offday!$A$2:$AK$18,MATCH('Planning-'!L$23,[1]Offday!$A$2:$AO$2,0))=0,$D35,VLOOKUP($A35,[1]Offday!$A$2:$AK$18,MATCH('Planning-'!L$23,[1]Offday!$A$2:$AO$2,0)))</f>
        <v>0.29166666666666669</v>
      </c>
      <c r="M35" s="120">
        <f>IF(VLOOKUP($A35,[1]Offday!$A$2:$AK$18,MATCH('Planning-'!M$23,[1]Offday!$A$2:$AO$2,0))=0,$F35,VLOOKUP($A35,[1]Offday!$A$2:$AK$18,MATCH('Planning-'!M$23,[1]Offday!$A$2:$AO$2,0)))</f>
        <v>0.375</v>
      </c>
      <c r="N35" s="111">
        <f>IF(VLOOKUP($A35,[1]Offday!$A$2:$AK$18,MATCH('Planning-'!N$23,[1]Offday!$A$2:$AO$2,0))=0,$C35,VLOOKUP($A35,[1]Offday!$A$2:$AK$18,MATCH('Planning-'!N$23,[1]Offday!$A$2:$AO$2,0)))</f>
        <v>0.5</v>
      </c>
      <c r="O35" s="111">
        <f>IF(VLOOKUP($A35,[1]Offday!$A$2:$AK$18,MATCH('Planning-'!O$23,[1]Offday!$A$2:$AO$2,0))=0,$C35,VLOOKUP($A35,[1]Offday!$A$2:$AK$18,MATCH('Planning-'!O$23,[1]Offday!$A$2:$AO$2,0)))</f>
        <v>0.5</v>
      </c>
      <c r="P35" s="111">
        <f>IF(VLOOKUP($A35,[1]Offday!$A$2:$AK$18,MATCH('Planning-'!P$23,[1]Offday!$A$2:$AO$2,0))=0,$C35,VLOOKUP($A35,[1]Offday!$A$2:$AK$18,MATCH('Planning-'!P$23,[1]Offday!$A$2:$AO$2,0)))</f>
        <v>0.5</v>
      </c>
      <c r="Q35" s="111">
        <f>IF(VLOOKUP($A35,[1]Offday!$A$2:$AK$18,MATCH('Planning-'!Q$23,[1]Offday!$A$2:$AO$2,0))=0,$E35,VLOOKUP($A35,[1]Offday!$A$2:$AK$18,MATCH('Planning-'!Q$23,[1]Offday!$A$2:$AO$2,0)))</f>
        <v>0.5</v>
      </c>
      <c r="R35" s="111" t="str">
        <f>IF(VLOOKUP($A35,[1]Offday!$A$2:$AK$18,MATCH('Planning-'!R$23,[1]Offday!$A$2:$AO$2,0))=0,$E35,VLOOKUP($A35,[1]Offday!$A$2:$AK$18,MATCH('Planning-'!R$23,[1]Offday!$A$2:$AO$2,0)))</f>
        <v>O</v>
      </c>
      <c r="S35" s="111">
        <f>IF(VLOOKUP($A35,[1]Offday!$A$2:$AK$18,MATCH('Planning-'!S$23,[1]Offday!$A$2:$AO$2,0))=0,$F35,VLOOKUP($A35,[1]Offday!$A$2:$AK$18,MATCH('Planning-'!S$23,[1]Offday!$A$2:$AO$2,0)))</f>
        <v>0.375</v>
      </c>
      <c r="T35" s="120" t="str">
        <f>IF(VLOOKUP($A35,[1]Offday!$A$2:$AK$18,MATCH('Planning-'!T$23,[1]Offday!$A$2:$AO$2,0))=0,$F35,VLOOKUP($A35,[1]Offday!$A$2:$AK$18,MATCH('Planning-'!T$23,[1]Offday!$A$2:$AO$2,0)))</f>
        <v>O</v>
      </c>
      <c r="U35" s="111">
        <f>IF(VLOOKUP($A35,[1]Offday!$A$2:$AK$18,MATCH('Planning-'!U$23,[1]Offday!$A$2:$AO$2,0))=0,$C35,VLOOKUP($A35,[1]Offday!$A$2:$AK$18,MATCH('Planning-'!U$23,[1]Offday!$A$2:$AO$2,0)))</f>
        <v>0.5</v>
      </c>
      <c r="V35" s="111">
        <f>IF(VLOOKUP($A35,[1]Offday!$A$2:$AK$18,MATCH('Planning-'!V$23,[1]Offday!$A$2:$AO$2,0))=0,$C35,VLOOKUP($A35,[1]Offday!$A$2:$AK$18,MATCH('Planning-'!V$23,[1]Offday!$A$2:$AO$2,0)))</f>
        <v>0.5</v>
      </c>
      <c r="W35" s="111">
        <f>IF(VLOOKUP($A35,[1]Offday!$A$2:$AK$18,MATCH('Planning-'!W$23,[1]Offday!$A$2:$AO$2,0))=0,$C35,VLOOKUP($A35,[1]Offday!$A$2:$AK$18,MATCH('Planning-'!W$23,[1]Offday!$A$2:$AO$2,0)))</f>
        <v>0.5</v>
      </c>
      <c r="X35" s="111">
        <f>IF(VLOOKUP($A35,[1]Offday!$A$2:$AK$18,MATCH('Planning-'!X$23,[1]Offday!$A$2:$AO$2,0))=0,$E35,VLOOKUP($A35,[1]Offday!$A$2:$AK$18,MATCH('Planning-'!X$23,[1]Offday!$A$2:$AO$2,0)))</f>
        <v>0.5</v>
      </c>
      <c r="Y35" s="111">
        <f>IF(VLOOKUP($A35,[1]Offday!$A$2:$AK$18,MATCH('Planning-'!Y$23,[1]Offday!$A$2:$AO$2,0))=0,$E35,VLOOKUP($A35,[1]Offday!$A$2:$AK$18,MATCH('Planning-'!Y$23,[1]Offday!$A$2:$AO$2,0)))</f>
        <v>0.5</v>
      </c>
      <c r="Z35" s="111">
        <f>IF(VLOOKUP($A35,[1]Offday!$A$2:$AK$18,MATCH('Planning-'!Z$23,[1]Offday!$A$2:$AO$2,0))=0,$F35,VLOOKUP($A35,[1]Offday!$A$2:$AK$18,MATCH('Planning-'!Z$23,[1]Offday!$A$2:$AO$2,0)))</f>
        <v>0.375</v>
      </c>
      <c r="AA35" s="120">
        <f>IF(VLOOKUP($A35,[1]Offday!$A$2:$AK$18,MATCH('Planning-'!AA$23,[1]Offday!$A$2:$AO$2,0))=0,$F35,VLOOKUP($A35,[1]Offday!$A$2:$AK$18,MATCH('Planning-'!AA$23,[1]Offday!$A$2:$AO$2,0)))</f>
        <v>0.375</v>
      </c>
      <c r="AB35" s="111">
        <f>IF(VLOOKUP($A35,[1]Offday!$A$2:$AK$18,MATCH('Planning-'!AB$23,[1]Offday!$A$2:$AO$2,0))=0,$C35,VLOOKUP($A35,[1]Offday!$A$2:$AK$18,MATCH('Planning-'!AB$23,[1]Offday!$A$2:$AO$2,0)))</f>
        <v>0.5</v>
      </c>
      <c r="AC35" s="111">
        <f>IF(VLOOKUP($A35,[1]Offday!$A$2:$AK$18,MATCH('Planning-'!AC$23,[1]Offday!$A$2:$AO$2,0))=0,$C35,VLOOKUP($A35,[1]Offday!$A$2:$AK$18,MATCH('Planning-'!AC$23,[1]Offday!$A$2:$AO$2,0)))</f>
        <v>0.5</v>
      </c>
      <c r="AD35" s="111">
        <f>IF(VLOOKUP($A35,[1]Offday!$A$2:$AK$18,MATCH('Planning-'!AD$23,[1]Offday!$A$2:$AO$2,0))=0,$C35,VLOOKUP($A35,[1]Offday!$A$2:$AK$18,MATCH('Planning-'!AD$23,[1]Offday!$A$2:$AO$2,0)))</f>
        <v>0.5</v>
      </c>
      <c r="AE35" s="111">
        <f>IF(VLOOKUP($A35,[1]Offday!$A$2:$AK$18,MATCH('Planning-'!AE$23,[1]Offday!$A$2:$AO$2,0))=0,$E35,VLOOKUP($A35,[1]Offday!$A$2:$AK$18,MATCH('Planning-'!AE$23,[1]Offday!$A$2:$AO$2,0)))</f>
        <v>0.5</v>
      </c>
      <c r="AF35" s="111">
        <f>IF(VLOOKUP($A35,[1]Offday!$A$2:$AK$18,MATCH('Planning-'!AF$23,[1]Offday!$A$2:$AO$2,0))=0,$E35,VLOOKUP($A35,[1]Offday!$A$2:$AK$18,MATCH('Planning-'!AF$23,[1]Offday!$A$2:$AO$2,0)))</f>
        <v>0.5</v>
      </c>
      <c r="AG35" s="111">
        <f>IF(VLOOKUP($A35,[1]Offday!$A$2:$AK$18,MATCH('Planning-'!AG$23,[1]Offday!$A$2:$AO$2,0))=0,$F35,VLOOKUP($A35,[1]Offday!$A$2:$AK$18,MATCH('Planning-'!AG$23,[1]Offday!$A$2:$AO$2,0)))</f>
        <v>0.375</v>
      </c>
      <c r="AH35" s="120">
        <f>IF(VLOOKUP($A35,[1]Offday!$A$2:$AK$18,MATCH('Planning-'!AH$23,[1]Offday!$A$2:$AO$2,0))=0,$F35,VLOOKUP($A35,[1]Offday!$A$2:$AK$18,MATCH('Planning-'!AH$23,[1]Offday!$A$2:$AO$2,0)))</f>
        <v>0.375</v>
      </c>
      <c r="AI35" s="111">
        <f>IF(VLOOKUP($A35,[1]Offday!$A$2:$AK$18,MATCH('Planning-'!AI$23,[1]Offday!$A$2:$AO$2,0))=0,$C35,VLOOKUP($A35,[1]Offday!$A$2:$AK$18,MATCH('Planning-'!AI$23,[1]Offday!$A$2:$AO$2,0)))</f>
        <v>0.5</v>
      </c>
      <c r="AJ35" s="111">
        <f>IF(VLOOKUP($A35,[1]Offday!$A$2:$AK$18,MATCH('Planning-'!AJ$23,[1]Offday!$A$2:$AO$2,0))=0,$C35,VLOOKUP($A35,[1]Offday!$A$2:$AK$18,MATCH('Planning-'!AJ$23,[1]Offday!$A$2:$AO$2,0)))</f>
        <v>0.5</v>
      </c>
      <c r="AK35" s="111">
        <f>IF(VLOOKUP($A35,[1]Offday!$A$2:$AK$18,MATCH('Planning-'!AK$23,[1]Offday!$A$2:$AO$2,0))=0,$C35,VLOOKUP($A35,[1]Offday!$A$2:$AK$18,MATCH('Planning-'!AK$23,[1]Offday!$A$2:$AO$2,0)))</f>
        <v>0.5</v>
      </c>
      <c r="AL35" s="113">
        <f t="shared" si="4"/>
        <v>2</v>
      </c>
      <c r="AM35" s="114">
        <f t="shared" si="2"/>
        <v>2</v>
      </c>
      <c r="AN35" s="114">
        <f t="shared" si="3"/>
        <v>6</v>
      </c>
      <c r="AO35" s="115">
        <f t="shared" si="5"/>
        <v>4</v>
      </c>
    </row>
    <row r="36" spans="1:41" ht="15" customHeight="1" thickBot="1" x14ac:dyDescent="0.3">
      <c r="A36" s="121">
        <v>13</v>
      </c>
      <c r="B36" s="108" t="str">
        <f>+[1]Offday!B15</f>
        <v>AFANNOU Yaovi Rene</v>
      </c>
      <c r="C36" s="118">
        <f>+[1]Offday!C15</f>
        <v>0.5</v>
      </c>
      <c r="D36" s="118">
        <f>+[1]Offday!D15</f>
        <v>0.29166666666666669</v>
      </c>
      <c r="E36" s="118">
        <f>+[1]Offday!E15</f>
        <v>0.5</v>
      </c>
      <c r="F36" s="119">
        <f>+[1]Offday!F15</f>
        <v>0.375</v>
      </c>
      <c r="G36" s="111">
        <f>IF(VLOOKUP($A36,[1]Offday!$A$2:$AK$18,MATCH('Planning-'!G$23,[1]Offday!$A$2:$AO$2,0))=0,$D36,VLOOKUP($A36,[1]Offday!$A$2:$AK$18,MATCH('Planning-'!G$23,[1]Offday!$A$2:$AO$2,0)))</f>
        <v>0.29166666666666669</v>
      </c>
      <c r="H36" s="111">
        <f>IF(VLOOKUP($A36,[1]Offday!$A$2:$AK$18,MATCH('Planning-'!H$23,[1]Offday!$A$2:$AO$2,0))=0,$C36,VLOOKUP($A36,[1]Offday!$A$2:$AK$18,MATCH('Planning-'!H$23,[1]Offday!$A$2:$AO$2,0)))</f>
        <v>0.5</v>
      </c>
      <c r="I36" s="111" t="str">
        <f>IF(VLOOKUP($A36,[1]Offday!$A$2:$AK$18,MATCH('Planning-'!I$23,[1]Offday!$A$2:$AO$2,0))=0,$D36,VLOOKUP($A36,[1]Offday!$A$2:$AK$18,MATCH('Planning-'!I$23,[1]Offday!$A$2:$AO$2,0)))</f>
        <v>O</v>
      </c>
      <c r="J36" s="111">
        <f>IF(VLOOKUP($A36,[1]Offday!$A$2:$AK$18,MATCH('Planning-'!J$23,[1]Offday!$A$2:$AO$2,0))=0,$D36,VLOOKUP($A36,[1]Offday!$A$2:$AK$18,MATCH('Planning-'!J$23,[1]Offday!$A$2:$AO$2,0)))</f>
        <v>0.29166666666666669</v>
      </c>
      <c r="K36" s="111" t="str">
        <f>IF(VLOOKUP($A36,[1]Offday!$A$2:$AK$18,MATCH('Planning-'!K$23,[1]Offday!$A$2:$AO$2,0))=0,$E36,VLOOKUP($A36,[1]Offday!$A$2:$AK$18,MATCH('Planning-'!K$23,[1]Offday!$A$2:$AO$2,0)))</f>
        <v>O</v>
      </c>
      <c r="L36" s="111">
        <f>IF(VLOOKUP($A36,[1]Offday!$A$2:$AK$18,MATCH('Planning-'!L$23,[1]Offday!$A$2:$AO$2,0))=0,$C36,VLOOKUP($A36,[1]Offday!$A$2:$AK$18,MATCH('Planning-'!L$23,[1]Offday!$A$2:$AO$2,0)))</f>
        <v>0.5</v>
      </c>
      <c r="M36" s="120">
        <f>IF(VLOOKUP($A36,[1]Offday!$A$2:$AK$18,MATCH('Planning-'!M$23,[1]Offday!$A$2:$AO$2,0))=0,$D36,VLOOKUP($A36,[1]Offday!$A$2:$AK$18,MATCH('Planning-'!M$23,[1]Offday!$A$2:$AO$2,0)))</f>
        <v>0.29166666666666669</v>
      </c>
      <c r="N36" s="111">
        <f>IF(VLOOKUP($A36,[1]Offday!$A$2:$AK$18,MATCH('Planning-'!N$23,[1]Offday!$A$2:$AO$2,0))=0,$C36,VLOOKUP($A36,[1]Offday!$A$2:$AK$18,MATCH('Planning-'!N$23,[1]Offday!$A$2:$AO$2,0)))</f>
        <v>0.5</v>
      </c>
      <c r="O36" s="111">
        <f>IF(VLOOKUP($A36,[1]Offday!$A$2:$AK$18,MATCH('Planning-'!O$23,[1]Offday!$A$2:$AO$2,0))=0,$C36,VLOOKUP($A36,[1]Offday!$A$2:$AK$18,MATCH('Planning-'!O$23,[1]Offday!$A$2:$AO$2,0)))</f>
        <v>0.5</v>
      </c>
      <c r="P36" s="111">
        <f>IF(VLOOKUP($A36,[1]Offday!$A$2:$AK$18,MATCH('Planning-'!P$23,[1]Offday!$A$2:$AO$2,0))=0,$C36,VLOOKUP($A36,[1]Offday!$A$2:$AK$18,MATCH('Planning-'!P$23,[1]Offday!$A$2:$AO$2,0)))</f>
        <v>0.5</v>
      </c>
      <c r="Q36" s="111">
        <f>IF(VLOOKUP($A36,[1]Offday!$A$2:$AK$18,MATCH('Planning-'!Q$23,[1]Offday!$A$2:$AO$2,0))=0,$E36,VLOOKUP($A36,[1]Offday!$A$2:$AK$18,MATCH('Planning-'!Q$23,[1]Offday!$A$2:$AO$2,0)))</f>
        <v>0.5</v>
      </c>
      <c r="R36" s="111" t="str">
        <f>IF(VLOOKUP($A36,[1]Offday!$A$2:$AK$18,MATCH('Planning-'!R$23,[1]Offday!$A$2:$AO$2,0))=0,$E36,VLOOKUP($A36,[1]Offday!$A$2:$AK$18,MATCH('Planning-'!R$23,[1]Offday!$A$2:$AO$2,0)))</f>
        <v>O</v>
      </c>
      <c r="S36" s="111">
        <f>IF(VLOOKUP($A36,[1]Offday!$A$2:$AK$18,MATCH('Planning-'!S$23,[1]Offday!$A$2:$AO$2,0))=0,$F36,VLOOKUP($A36,[1]Offday!$A$2:$AK$18,MATCH('Planning-'!S$23,[1]Offday!$A$2:$AO$2,0)))</f>
        <v>0.375</v>
      </c>
      <c r="T36" s="120" t="str">
        <f>IF(VLOOKUP($A36,[1]Offday!$A$2:$AK$18,MATCH('Planning-'!T$23,[1]Offday!$A$2:$AO$2,0))=0,$F36,VLOOKUP($A36,[1]Offday!$A$2:$AK$18,MATCH('Planning-'!T$23,[1]Offday!$A$2:$AO$2,0)))</f>
        <v>O</v>
      </c>
      <c r="U36" s="111">
        <f>IF(VLOOKUP($A36,[1]Offday!$A$2:$AK$18,MATCH('Planning-'!U$23,[1]Offday!$A$2:$AO$2,0))=0,$C36,VLOOKUP($A36,[1]Offday!$A$2:$AK$18,MATCH('Planning-'!U$23,[1]Offday!$A$2:$AO$2,0)))</f>
        <v>0.5</v>
      </c>
      <c r="V36" s="111">
        <f>IF(VLOOKUP($A36,[1]Offday!$A$2:$AK$18,MATCH('Planning-'!V$23,[1]Offday!$A$2:$AO$2,0))=0,$C36,VLOOKUP($A36,[1]Offday!$A$2:$AK$18,MATCH('Planning-'!V$23,[1]Offday!$A$2:$AO$2,0)))</f>
        <v>0.5</v>
      </c>
      <c r="W36" s="111">
        <f>IF(VLOOKUP($A36,[1]Offday!$A$2:$AK$18,MATCH('Planning-'!W$23,[1]Offday!$A$2:$AO$2,0))=0,$C36,VLOOKUP($A36,[1]Offday!$A$2:$AK$18,MATCH('Planning-'!W$23,[1]Offday!$A$2:$AO$2,0)))</f>
        <v>0.5</v>
      </c>
      <c r="X36" s="111">
        <f>IF(VLOOKUP($A36,[1]Offday!$A$2:$AK$18,MATCH('Planning-'!X$23,[1]Offday!$A$2:$AO$2,0))=0,$E36,VLOOKUP($A36,[1]Offday!$A$2:$AK$18,MATCH('Planning-'!X$23,[1]Offday!$A$2:$AO$2,0)))</f>
        <v>0.5</v>
      </c>
      <c r="Y36" s="111">
        <f>IF(VLOOKUP($A36,[1]Offday!$A$2:$AK$18,MATCH('Planning-'!Y$23,[1]Offday!$A$2:$AO$2,0))=0,$E36,VLOOKUP($A36,[1]Offday!$A$2:$AK$18,MATCH('Planning-'!Y$23,[1]Offday!$A$2:$AO$2,0)))</f>
        <v>0.5</v>
      </c>
      <c r="Z36" s="111">
        <f>IF(VLOOKUP($A36,[1]Offday!$A$2:$AK$18,MATCH('Planning-'!Z$23,[1]Offday!$A$2:$AO$2,0))=0,$F36,VLOOKUP($A36,[1]Offday!$A$2:$AK$18,MATCH('Planning-'!Z$23,[1]Offday!$A$2:$AO$2,0)))</f>
        <v>0.375</v>
      </c>
      <c r="AA36" s="120">
        <f>IF(VLOOKUP($A36,[1]Offday!$A$2:$AK$18,MATCH('Planning-'!AA$23,[1]Offday!$A$2:$AO$2,0))=0,$F36,VLOOKUP($A36,[1]Offday!$A$2:$AK$18,MATCH('Planning-'!AA$23,[1]Offday!$A$2:$AO$2,0)))</f>
        <v>0.375</v>
      </c>
      <c r="AB36" s="111">
        <f>IF(VLOOKUP($A36,[1]Offday!$A$2:$AK$18,MATCH('Planning-'!AB$23,[1]Offday!$A$2:$AO$2,0))=0,$C36,VLOOKUP($A36,[1]Offday!$A$2:$AK$18,MATCH('Planning-'!AB$23,[1]Offday!$A$2:$AO$2,0)))</f>
        <v>0.5</v>
      </c>
      <c r="AC36" s="111">
        <f>IF(VLOOKUP($A36,[1]Offday!$A$2:$AK$18,MATCH('Planning-'!AC$23,[1]Offday!$A$2:$AO$2,0))=0,$C36,VLOOKUP($A36,[1]Offday!$A$2:$AK$18,MATCH('Planning-'!AC$23,[1]Offday!$A$2:$AO$2,0)))</f>
        <v>0.5</v>
      </c>
      <c r="AD36" s="111">
        <f>IF(VLOOKUP($A36,[1]Offday!$A$2:$AK$18,MATCH('Planning-'!AD$23,[1]Offday!$A$2:$AO$2,0))=0,$C36,VLOOKUP($A36,[1]Offday!$A$2:$AK$18,MATCH('Planning-'!AD$23,[1]Offday!$A$2:$AO$2,0)))</f>
        <v>0.5</v>
      </c>
      <c r="AE36" s="111">
        <f>IF(VLOOKUP($A36,[1]Offday!$A$2:$AK$18,MATCH('Planning-'!AE$23,[1]Offday!$A$2:$AO$2,0))=0,$E36,VLOOKUP($A36,[1]Offday!$A$2:$AK$18,MATCH('Planning-'!AE$23,[1]Offday!$A$2:$AO$2,0)))</f>
        <v>0.5</v>
      </c>
      <c r="AF36" s="111">
        <f>IF(VLOOKUP($A36,[1]Offday!$A$2:$AK$18,MATCH('Planning-'!AF$23,[1]Offday!$A$2:$AO$2,0))=0,$E36,VLOOKUP($A36,[1]Offday!$A$2:$AK$18,MATCH('Planning-'!AF$23,[1]Offday!$A$2:$AO$2,0)))</f>
        <v>0.5</v>
      </c>
      <c r="AG36" s="111">
        <f>IF(VLOOKUP($A36,[1]Offday!$A$2:$AK$18,MATCH('Planning-'!AG$23,[1]Offday!$A$2:$AO$2,0))=0,$F36,VLOOKUP($A36,[1]Offday!$A$2:$AK$18,MATCH('Planning-'!AG$23,[1]Offday!$A$2:$AO$2,0)))</f>
        <v>0.375</v>
      </c>
      <c r="AH36" s="120">
        <f>IF(VLOOKUP($A36,[1]Offday!$A$2:$AK$18,MATCH('Planning-'!AH$23,[1]Offday!$A$2:$AO$2,0))=0,$F36,VLOOKUP($A36,[1]Offday!$A$2:$AK$18,MATCH('Planning-'!AH$23,[1]Offday!$A$2:$AO$2,0)))</f>
        <v>0.375</v>
      </c>
      <c r="AI36" s="111">
        <f>IF(VLOOKUP($A36,[1]Offday!$A$2:$AK$18,MATCH('Planning-'!AI$23,[1]Offday!$A$2:$AO$2,0))=0,$C36,VLOOKUP($A36,[1]Offday!$A$2:$AK$18,MATCH('Planning-'!AI$23,[1]Offday!$A$2:$AO$2,0)))</f>
        <v>0.5</v>
      </c>
      <c r="AJ36" s="111">
        <f>IF(VLOOKUP($A36,[1]Offday!$A$2:$AK$18,MATCH('Planning-'!AJ$23,[1]Offday!$A$2:$AO$2,0))=0,$C36,VLOOKUP($A36,[1]Offday!$A$2:$AK$18,MATCH('Planning-'!AJ$23,[1]Offday!$A$2:$AO$2,0)))</f>
        <v>0.5</v>
      </c>
      <c r="AK36" s="111">
        <f>IF(VLOOKUP($A36,[1]Offday!$A$2:$AK$18,MATCH('Planning-'!AK$23,[1]Offday!$A$2:$AO$2,0))=0,$C36,VLOOKUP($A36,[1]Offday!$A$2:$AK$18,MATCH('Planning-'!AK$23,[1]Offday!$A$2:$AO$2,0)))</f>
        <v>0.5</v>
      </c>
      <c r="AL36" s="113">
        <f t="shared" si="4"/>
        <v>3</v>
      </c>
      <c r="AM36" s="114">
        <f t="shared" si="2"/>
        <v>1</v>
      </c>
      <c r="AN36" s="114">
        <f t="shared" si="3"/>
        <v>6</v>
      </c>
      <c r="AO36" s="115">
        <f t="shared" si="5"/>
        <v>4</v>
      </c>
    </row>
    <row r="37" spans="1:41" ht="15.75" hidden="1" thickBot="1" x14ac:dyDescent="0.3">
      <c r="A37" s="122">
        <v>63</v>
      </c>
      <c r="B37" s="123"/>
      <c r="C37" s="118"/>
      <c r="D37" s="118"/>
      <c r="E37" s="118"/>
      <c r="F37" s="124"/>
      <c r="G37" s="125"/>
      <c r="H37" s="126"/>
      <c r="I37" s="126"/>
      <c r="J37" s="126"/>
      <c r="K37" s="126"/>
      <c r="L37" s="126"/>
      <c r="M37" s="127"/>
      <c r="N37" s="125"/>
      <c r="O37" s="126"/>
      <c r="P37" s="126"/>
      <c r="Q37" s="126"/>
      <c r="R37" s="126"/>
      <c r="S37" s="126"/>
      <c r="T37" s="127"/>
      <c r="U37" s="125"/>
      <c r="V37" s="126"/>
      <c r="W37" s="126"/>
      <c r="X37" s="126"/>
      <c r="Y37" s="126"/>
      <c r="Z37" s="126"/>
      <c r="AA37" s="127"/>
      <c r="AB37" s="125"/>
      <c r="AC37" s="126"/>
      <c r="AD37" s="126"/>
      <c r="AE37" s="126"/>
      <c r="AF37" s="126"/>
      <c r="AG37" s="126"/>
      <c r="AH37" s="127"/>
      <c r="AI37" s="128"/>
      <c r="AJ37" s="126"/>
      <c r="AK37" s="129"/>
      <c r="AL37" s="128"/>
      <c r="AM37" s="126"/>
      <c r="AN37" s="126"/>
      <c r="AO37" s="126"/>
    </row>
    <row r="38" spans="1:41" ht="15.75" hidden="1" thickBot="1" x14ac:dyDescent="0.3">
      <c r="A38" s="122">
        <v>64</v>
      </c>
      <c r="B38" s="123"/>
      <c r="C38" s="118"/>
      <c r="D38" s="118"/>
      <c r="E38" s="118"/>
      <c r="F38" s="124"/>
      <c r="G38" s="125"/>
      <c r="H38" s="126"/>
      <c r="I38" s="126"/>
      <c r="J38" s="126"/>
      <c r="K38" s="126"/>
      <c r="L38" s="126"/>
      <c r="M38" s="127"/>
      <c r="N38" s="125"/>
      <c r="O38" s="126"/>
      <c r="P38" s="126"/>
      <c r="Q38" s="126"/>
      <c r="R38" s="126"/>
      <c r="S38" s="126"/>
      <c r="T38" s="127"/>
      <c r="U38" s="125"/>
      <c r="V38" s="126"/>
      <c r="W38" s="126"/>
      <c r="X38" s="126"/>
      <c r="Y38" s="126"/>
      <c r="Z38" s="126"/>
      <c r="AA38" s="127"/>
      <c r="AB38" s="125"/>
      <c r="AC38" s="126"/>
      <c r="AD38" s="126"/>
      <c r="AE38" s="126"/>
      <c r="AF38" s="126"/>
      <c r="AG38" s="126"/>
      <c r="AH38" s="127"/>
      <c r="AI38" s="128"/>
      <c r="AJ38" s="126"/>
      <c r="AK38" s="129"/>
      <c r="AL38" s="128"/>
      <c r="AM38" s="126"/>
      <c r="AN38" s="126"/>
      <c r="AO38" s="126"/>
    </row>
    <row r="39" spans="1:41" ht="15.75" hidden="1" thickBot="1" x14ac:dyDescent="0.3">
      <c r="A39" s="122">
        <v>65</v>
      </c>
      <c r="B39" s="123"/>
      <c r="C39" s="118"/>
      <c r="D39" s="118"/>
      <c r="E39" s="118"/>
      <c r="F39" s="124"/>
      <c r="G39" s="130"/>
      <c r="H39" s="123"/>
      <c r="I39" s="123"/>
      <c r="J39" s="123"/>
      <c r="K39" s="123"/>
      <c r="L39" s="123"/>
      <c r="M39" s="131"/>
      <c r="N39" s="130"/>
      <c r="O39" s="123"/>
      <c r="P39" s="123"/>
      <c r="Q39" s="123"/>
      <c r="R39" s="123"/>
      <c r="S39" s="123"/>
      <c r="T39" s="131"/>
      <c r="U39" s="130"/>
      <c r="V39" s="123"/>
      <c r="W39" s="123"/>
      <c r="X39" s="123"/>
      <c r="Y39" s="123"/>
      <c r="Z39" s="123"/>
      <c r="AA39" s="131"/>
      <c r="AB39" s="130"/>
      <c r="AC39" s="123"/>
      <c r="AD39" s="123"/>
      <c r="AE39" s="123"/>
      <c r="AF39" s="123"/>
      <c r="AG39" s="123"/>
      <c r="AH39" s="131"/>
      <c r="AI39" s="132"/>
      <c r="AJ39" s="123"/>
      <c r="AK39" s="133"/>
      <c r="AL39" s="132"/>
      <c r="AM39" s="123"/>
      <c r="AN39" s="123"/>
      <c r="AO39" s="123"/>
    </row>
    <row r="40" spans="1:41" ht="15.75" hidden="1" thickBot="1" x14ac:dyDescent="0.3">
      <c r="A40" s="122">
        <v>66</v>
      </c>
      <c r="B40" s="123"/>
      <c r="C40" s="118"/>
      <c r="D40" s="118"/>
      <c r="E40" s="118"/>
      <c r="F40" s="124"/>
      <c r="G40" s="130"/>
      <c r="H40" s="123"/>
      <c r="I40" s="123"/>
      <c r="J40" s="123"/>
      <c r="K40" s="123"/>
      <c r="L40" s="123"/>
      <c r="M40" s="131"/>
      <c r="N40" s="130"/>
      <c r="O40" s="123"/>
      <c r="P40" s="123"/>
      <c r="Q40" s="123"/>
      <c r="R40" s="123"/>
      <c r="S40" s="123"/>
      <c r="T40" s="131"/>
      <c r="U40" s="130"/>
      <c r="V40" s="123"/>
      <c r="W40" s="123"/>
      <c r="X40" s="123"/>
      <c r="Y40" s="123"/>
      <c r="Z40" s="123"/>
      <c r="AA40" s="131"/>
      <c r="AB40" s="130"/>
      <c r="AC40" s="123"/>
      <c r="AD40" s="123"/>
      <c r="AE40" s="123"/>
      <c r="AF40" s="123"/>
      <c r="AG40" s="123"/>
      <c r="AH40" s="131"/>
      <c r="AI40" s="132"/>
      <c r="AJ40" s="123"/>
      <c r="AK40" s="133"/>
      <c r="AL40" s="132"/>
      <c r="AM40" s="123"/>
      <c r="AN40" s="123"/>
      <c r="AO40" s="123"/>
    </row>
    <row r="41" spans="1:41" ht="15.75" hidden="1" thickBot="1" x14ac:dyDescent="0.3">
      <c r="A41" s="122">
        <v>67</v>
      </c>
      <c r="B41" s="123"/>
      <c r="C41" s="118"/>
      <c r="D41" s="118"/>
      <c r="E41" s="118"/>
      <c r="F41" s="124"/>
      <c r="G41" s="130"/>
      <c r="H41" s="123"/>
      <c r="I41" s="123"/>
      <c r="J41" s="123"/>
      <c r="K41" s="123"/>
      <c r="L41" s="123"/>
      <c r="M41" s="131"/>
      <c r="N41" s="130"/>
      <c r="O41" s="123"/>
      <c r="P41" s="123"/>
      <c r="Q41" s="123"/>
      <c r="R41" s="123"/>
      <c r="S41" s="123"/>
      <c r="T41" s="131"/>
      <c r="U41" s="130"/>
      <c r="V41" s="123"/>
      <c r="W41" s="123"/>
      <c r="X41" s="123"/>
      <c r="Y41" s="123"/>
      <c r="Z41" s="123"/>
      <c r="AA41" s="131"/>
      <c r="AB41" s="130"/>
      <c r="AC41" s="123"/>
      <c r="AD41" s="123"/>
      <c r="AE41" s="123"/>
      <c r="AF41" s="123"/>
      <c r="AG41" s="123"/>
      <c r="AH41" s="131"/>
      <c r="AI41" s="132"/>
      <c r="AJ41" s="123"/>
      <c r="AK41" s="133"/>
      <c r="AL41" s="132"/>
      <c r="AM41" s="123"/>
      <c r="AN41" s="123"/>
      <c r="AO41" s="123"/>
    </row>
    <row r="42" spans="1:41" ht="15.75" hidden="1" thickBot="1" x14ac:dyDescent="0.3">
      <c r="A42" s="122">
        <v>68</v>
      </c>
      <c r="B42" s="123"/>
      <c r="C42" s="118"/>
      <c r="D42" s="118"/>
      <c r="E42" s="118"/>
      <c r="F42" s="124"/>
      <c r="G42" s="130"/>
      <c r="H42" s="123"/>
      <c r="I42" s="123"/>
      <c r="J42" s="123"/>
      <c r="K42" s="123"/>
      <c r="L42" s="123"/>
      <c r="M42" s="131"/>
      <c r="N42" s="130"/>
      <c r="O42" s="123"/>
      <c r="P42" s="123"/>
      <c r="Q42" s="123"/>
      <c r="R42" s="123"/>
      <c r="S42" s="123"/>
      <c r="T42" s="131"/>
      <c r="U42" s="130"/>
      <c r="V42" s="123"/>
      <c r="W42" s="123"/>
      <c r="X42" s="123"/>
      <c r="Y42" s="123"/>
      <c r="Z42" s="123"/>
      <c r="AA42" s="131"/>
      <c r="AB42" s="130"/>
      <c r="AC42" s="123"/>
      <c r="AD42" s="123"/>
      <c r="AE42" s="123"/>
      <c r="AF42" s="123"/>
      <c r="AG42" s="123"/>
      <c r="AH42" s="131"/>
      <c r="AI42" s="132"/>
      <c r="AJ42" s="123"/>
      <c r="AK42" s="133"/>
      <c r="AL42" s="132"/>
      <c r="AM42" s="123"/>
      <c r="AN42" s="123"/>
      <c r="AO42" s="123"/>
    </row>
    <row r="43" spans="1:41" ht="15.75" hidden="1" thickBot="1" x14ac:dyDescent="0.3">
      <c r="A43" s="122">
        <v>69</v>
      </c>
      <c r="B43" s="123"/>
      <c r="C43" s="118"/>
      <c r="D43" s="118"/>
      <c r="E43" s="118"/>
      <c r="F43" s="124"/>
      <c r="G43" s="130"/>
      <c r="H43" s="123"/>
      <c r="I43" s="123"/>
      <c r="J43" s="123"/>
      <c r="K43" s="123"/>
      <c r="L43" s="123"/>
      <c r="M43" s="131"/>
      <c r="N43" s="130"/>
      <c r="O43" s="123"/>
      <c r="P43" s="123"/>
      <c r="Q43" s="123"/>
      <c r="R43" s="123"/>
      <c r="S43" s="123"/>
      <c r="T43" s="131"/>
      <c r="U43" s="130"/>
      <c r="V43" s="123"/>
      <c r="W43" s="123"/>
      <c r="X43" s="123"/>
      <c r="Y43" s="123"/>
      <c r="Z43" s="123"/>
      <c r="AA43" s="131"/>
      <c r="AB43" s="130"/>
      <c r="AC43" s="123"/>
      <c r="AD43" s="123"/>
      <c r="AE43" s="123"/>
      <c r="AF43" s="123"/>
      <c r="AG43" s="123"/>
      <c r="AH43" s="131"/>
      <c r="AI43" s="132"/>
      <c r="AJ43" s="123"/>
      <c r="AK43" s="133"/>
      <c r="AL43" s="132"/>
      <c r="AM43" s="123"/>
      <c r="AN43" s="123"/>
      <c r="AO43" s="123"/>
    </row>
    <row r="44" spans="1:41" ht="15.75" hidden="1" thickBot="1" x14ac:dyDescent="0.3">
      <c r="A44" s="122">
        <v>70</v>
      </c>
      <c r="B44" s="123"/>
      <c r="C44" s="118"/>
      <c r="D44" s="118"/>
      <c r="E44" s="118"/>
      <c r="F44" s="124"/>
      <c r="G44" s="130"/>
      <c r="H44" s="123"/>
      <c r="I44" s="123"/>
      <c r="J44" s="123"/>
      <c r="K44" s="123"/>
      <c r="L44" s="123"/>
      <c r="M44" s="131"/>
      <c r="N44" s="130"/>
      <c r="O44" s="123"/>
      <c r="P44" s="123"/>
      <c r="Q44" s="123"/>
      <c r="R44" s="123"/>
      <c r="S44" s="123"/>
      <c r="T44" s="131"/>
      <c r="U44" s="130"/>
      <c r="V44" s="123"/>
      <c r="W44" s="123"/>
      <c r="X44" s="123"/>
      <c r="Y44" s="123"/>
      <c r="Z44" s="123"/>
      <c r="AA44" s="131"/>
      <c r="AB44" s="130"/>
      <c r="AC44" s="123"/>
      <c r="AD44" s="123"/>
      <c r="AE44" s="123"/>
      <c r="AF44" s="123"/>
      <c r="AG44" s="123"/>
      <c r="AH44" s="131"/>
      <c r="AI44" s="132"/>
      <c r="AJ44" s="123"/>
      <c r="AK44" s="133"/>
      <c r="AL44" s="132"/>
      <c r="AM44" s="123"/>
      <c r="AN44" s="123"/>
      <c r="AO44" s="123"/>
    </row>
    <row r="45" spans="1:41" ht="15.75" hidden="1" thickBot="1" x14ac:dyDescent="0.3">
      <c r="A45" s="122">
        <v>71</v>
      </c>
      <c r="B45" s="123"/>
      <c r="C45" s="118"/>
      <c r="D45" s="118"/>
      <c r="E45" s="118"/>
      <c r="F45" s="124"/>
      <c r="G45" s="130"/>
      <c r="H45" s="123"/>
      <c r="I45" s="123"/>
      <c r="J45" s="123"/>
      <c r="K45" s="123"/>
      <c r="L45" s="123"/>
      <c r="M45" s="131"/>
      <c r="N45" s="130"/>
      <c r="O45" s="123"/>
      <c r="P45" s="123"/>
      <c r="Q45" s="123"/>
      <c r="R45" s="123"/>
      <c r="S45" s="123"/>
      <c r="T45" s="131"/>
      <c r="U45" s="130"/>
      <c r="V45" s="123"/>
      <c r="W45" s="123"/>
      <c r="X45" s="123"/>
      <c r="Y45" s="123"/>
      <c r="Z45" s="123"/>
      <c r="AA45" s="131"/>
      <c r="AB45" s="130"/>
      <c r="AC45" s="123"/>
      <c r="AD45" s="123"/>
      <c r="AE45" s="123"/>
      <c r="AF45" s="123"/>
      <c r="AG45" s="123"/>
      <c r="AH45" s="131"/>
      <c r="AI45" s="132"/>
      <c r="AJ45" s="123"/>
      <c r="AK45" s="133"/>
      <c r="AL45" s="132"/>
      <c r="AM45" s="123"/>
      <c r="AN45" s="123"/>
      <c r="AO45" s="123"/>
    </row>
    <row r="46" spans="1:41" ht="15.75" hidden="1" thickBot="1" x14ac:dyDescent="0.3">
      <c r="A46" s="122">
        <v>72</v>
      </c>
      <c r="B46" s="123"/>
      <c r="C46" s="118"/>
      <c r="D46" s="118"/>
      <c r="E46" s="118"/>
      <c r="F46" s="124"/>
      <c r="G46" s="130"/>
      <c r="H46" s="123"/>
      <c r="I46" s="123"/>
      <c r="J46" s="123"/>
      <c r="K46" s="123"/>
      <c r="L46" s="123"/>
      <c r="M46" s="131"/>
      <c r="N46" s="130"/>
      <c r="O46" s="123"/>
      <c r="P46" s="123"/>
      <c r="Q46" s="123"/>
      <c r="R46" s="123"/>
      <c r="S46" s="123"/>
      <c r="T46" s="131"/>
      <c r="U46" s="130"/>
      <c r="V46" s="123"/>
      <c r="W46" s="123"/>
      <c r="X46" s="123"/>
      <c r="Y46" s="123"/>
      <c r="Z46" s="123"/>
      <c r="AA46" s="131"/>
      <c r="AB46" s="130"/>
      <c r="AC46" s="123"/>
      <c r="AD46" s="123"/>
      <c r="AE46" s="123"/>
      <c r="AF46" s="123"/>
      <c r="AG46" s="123"/>
      <c r="AH46" s="131"/>
      <c r="AI46" s="132"/>
      <c r="AJ46" s="123"/>
      <c r="AK46" s="133"/>
      <c r="AL46" s="132"/>
      <c r="AM46" s="123"/>
      <c r="AN46" s="123"/>
      <c r="AO46" s="123"/>
    </row>
    <row r="47" spans="1:41" ht="15.75" hidden="1" thickBot="1" x14ac:dyDescent="0.3">
      <c r="A47" s="122">
        <v>73</v>
      </c>
      <c r="B47" s="123"/>
      <c r="C47" s="118"/>
      <c r="D47" s="118"/>
      <c r="E47" s="118"/>
      <c r="F47" s="124"/>
      <c r="G47" s="130"/>
      <c r="H47" s="123"/>
      <c r="I47" s="123"/>
      <c r="J47" s="123"/>
      <c r="K47" s="123"/>
      <c r="L47" s="123"/>
      <c r="M47" s="131"/>
      <c r="N47" s="130"/>
      <c r="O47" s="123"/>
      <c r="P47" s="123"/>
      <c r="Q47" s="123"/>
      <c r="R47" s="123"/>
      <c r="S47" s="123"/>
      <c r="T47" s="131"/>
      <c r="U47" s="130"/>
      <c r="V47" s="123"/>
      <c r="W47" s="123"/>
      <c r="X47" s="123"/>
      <c r="Y47" s="123"/>
      <c r="Z47" s="123"/>
      <c r="AA47" s="131"/>
      <c r="AB47" s="130"/>
      <c r="AC47" s="123"/>
      <c r="AD47" s="123"/>
      <c r="AE47" s="123"/>
      <c r="AF47" s="123"/>
      <c r="AG47" s="123"/>
      <c r="AH47" s="131"/>
      <c r="AI47" s="132"/>
      <c r="AJ47" s="123"/>
      <c r="AK47" s="133"/>
      <c r="AL47" s="132"/>
      <c r="AM47" s="123"/>
      <c r="AN47" s="123"/>
      <c r="AO47" s="123"/>
    </row>
    <row r="48" spans="1:41" ht="15.75" hidden="1" thickBot="1" x14ac:dyDescent="0.3">
      <c r="A48" s="134">
        <v>74</v>
      </c>
      <c r="B48" s="135"/>
      <c r="C48" s="136"/>
      <c r="D48" s="136"/>
      <c r="E48" s="136"/>
      <c r="F48" s="137"/>
      <c r="G48" s="138"/>
      <c r="H48" s="139"/>
      <c r="I48" s="139"/>
      <c r="J48" s="139"/>
      <c r="K48" s="139"/>
      <c r="L48" s="139"/>
      <c r="M48" s="140"/>
      <c r="N48" s="138"/>
      <c r="O48" s="139"/>
      <c r="P48" s="139"/>
      <c r="Q48" s="139"/>
      <c r="R48" s="139"/>
      <c r="S48" s="139"/>
      <c r="T48" s="140"/>
      <c r="U48" s="138"/>
      <c r="V48" s="139"/>
      <c r="W48" s="139"/>
      <c r="X48" s="139"/>
      <c r="Y48" s="139"/>
      <c r="Z48" s="139"/>
      <c r="AA48" s="140"/>
      <c r="AB48" s="138"/>
      <c r="AC48" s="139"/>
      <c r="AD48" s="139"/>
      <c r="AE48" s="139"/>
      <c r="AF48" s="139"/>
      <c r="AG48" s="139"/>
      <c r="AH48" s="140"/>
      <c r="AI48" s="138"/>
      <c r="AJ48" s="139"/>
      <c r="AK48" s="141"/>
      <c r="AL48" s="142"/>
      <c r="AM48" s="139"/>
      <c r="AN48" s="139"/>
      <c r="AO48" s="139"/>
    </row>
    <row r="49" spans="1:41" ht="16.5" thickTop="1" thickBot="1" x14ac:dyDescent="0.3">
      <c r="A49" s="143"/>
      <c r="B49" s="144"/>
      <c r="C49" s="145"/>
      <c r="D49" s="145"/>
      <c r="E49" s="145"/>
      <c r="F49" s="145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  <c r="AC49" s="143"/>
      <c r="AD49" s="143"/>
      <c r="AE49" s="143"/>
      <c r="AF49" s="143"/>
      <c r="AG49" s="143"/>
      <c r="AH49" s="143"/>
      <c r="AI49" s="143"/>
      <c r="AJ49" s="143"/>
      <c r="AK49" s="143"/>
      <c r="AL49" s="143"/>
      <c r="AM49" s="143"/>
      <c r="AN49" s="143"/>
      <c r="AO49" s="143"/>
    </row>
    <row r="50" spans="1:41" ht="19.5" thickTop="1" x14ac:dyDescent="0.3">
      <c r="A50" s="71"/>
      <c r="B50" s="146" t="s">
        <v>59</v>
      </c>
      <c r="C50" s="147"/>
      <c r="D50" s="147"/>
      <c r="E50" s="147"/>
      <c r="F50" s="148"/>
      <c r="G50" s="149" t="s">
        <v>60</v>
      </c>
      <c r="H50" s="150" t="s">
        <v>60</v>
      </c>
      <c r="I50" s="150" t="s">
        <v>60</v>
      </c>
      <c r="J50" s="150" t="s">
        <v>60</v>
      </c>
      <c r="K50" s="150" t="s">
        <v>60</v>
      </c>
      <c r="L50" s="150" t="s">
        <v>60</v>
      </c>
      <c r="M50" s="150" t="s">
        <v>60</v>
      </c>
      <c r="N50" s="150" t="s">
        <v>60</v>
      </c>
      <c r="O50" s="150" t="s">
        <v>60</v>
      </c>
      <c r="P50" s="150" t="s">
        <v>60</v>
      </c>
      <c r="Q50" s="150" t="s">
        <v>60</v>
      </c>
      <c r="R50" s="150" t="s">
        <v>60</v>
      </c>
      <c r="S50" s="150" t="s">
        <v>60</v>
      </c>
      <c r="T50" s="150" t="s">
        <v>60</v>
      </c>
      <c r="U50" s="150"/>
      <c r="V50" s="150"/>
      <c r="W50" s="150"/>
      <c r="X50" s="150"/>
      <c r="Y50" s="150"/>
      <c r="Z50" s="150"/>
      <c r="AA50" s="150"/>
      <c r="AB50" s="150"/>
      <c r="AC50" s="150"/>
      <c r="AD50" s="150"/>
      <c r="AE50" s="150"/>
      <c r="AF50" s="150"/>
      <c r="AG50" s="150"/>
      <c r="AH50" s="150"/>
      <c r="AI50" s="150"/>
      <c r="AJ50" s="150"/>
      <c r="AK50" s="151"/>
      <c r="AL50" s="152"/>
      <c r="AM50" s="153"/>
      <c r="AN50" s="153"/>
      <c r="AO50" s="154"/>
    </row>
    <row r="51" spans="1:41" ht="18.75" x14ac:dyDescent="0.3">
      <c r="A51" s="71"/>
      <c r="B51" s="155" t="s">
        <v>61</v>
      </c>
      <c r="C51" s="156"/>
      <c r="D51" s="156"/>
      <c r="E51" s="156"/>
      <c r="F51" s="157"/>
      <c r="G51" s="158" t="s">
        <v>60</v>
      </c>
      <c r="H51" s="159" t="s">
        <v>60</v>
      </c>
      <c r="I51" s="159" t="s">
        <v>60</v>
      </c>
      <c r="J51" s="159" t="s">
        <v>60</v>
      </c>
      <c r="K51" s="159" t="s">
        <v>60</v>
      </c>
      <c r="L51" s="159" t="s">
        <v>60</v>
      </c>
      <c r="M51" s="159" t="s">
        <v>60</v>
      </c>
      <c r="N51" s="159" t="s">
        <v>60</v>
      </c>
      <c r="O51" s="159" t="s">
        <v>60</v>
      </c>
      <c r="P51" s="159" t="s">
        <v>60</v>
      </c>
      <c r="Q51" s="159" t="s">
        <v>60</v>
      </c>
      <c r="R51" s="159" t="s">
        <v>60</v>
      </c>
      <c r="S51" s="159" t="s">
        <v>60</v>
      </c>
      <c r="T51" s="159" t="s">
        <v>60</v>
      </c>
      <c r="U51" s="159"/>
      <c r="V51" s="159"/>
      <c r="W51" s="159"/>
      <c r="X51" s="159"/>
      <c r="Y51" s="159"/>
      <c r="Z51" s="159"/>
      <c r="AA51" s="159"/>
      <c r="AB51" s="159"/>
      <c r="AC51" s="159"/>
      <c r="AD51" s="159"/>
      <c r="AE51" s="159"/>
      <c r="AF51" s="159"/>
      <c r="AG51" s="159"/>
      <c r="AH51" s="159"/>
      <c r="AI51" s="159"/>
      <c r="AJ51" s="159"/>
      <c r="AK51" s="160"/>
      <c r="AL51" s="161"/>
      <c r="AM51" s="162"/>
      <c r="AN51" s="162"/>
      <c r="AO51" s="163"/>
    </row>
    <row r="52" spans="1:41" ht="19.5" thickBot="1" x14ac:dyDescent="0.35">
      <c r="A52" s="71"/>
      <c r="B52" s="164" t="s">
        <v>62</v>
      </c>
      <c r="C52" s="165"/>
      <c r="D52" s="165"/>
      <c r="E52" s="165"/>
      <c r="F52" s="166"/>
      <c r="G52" s="167" t="s">
        <v>60</v>
      </c>
      <c r="H52" s="168" t="s">
        <v>60</v>
      </c>
      <c r="I52" s="168" t="s">
        <v>60</v>
      </c>
      <c r="J52" s="168" t="s">
        <v>60</v>
      </c>
      <c r="K52" s="168" t="s">
        <v>60</v>
      </c>
      <c r="L52" s="168" t="s">
        <v>60</v>
      </c>
      <c r="M52" s="168" t="s">
        <v>60</v>
      </c>
      <c r="N52" s="168" t="s">
        <v>60</v>
      </c>
      <c r="O52" s="168" t="s">
        <v>60</v>
      </c>
      <c r="P52" s="168" t="s">
        <v>60</v>
      </c>
      <c r="Q52" s="168" t="s">
        <v>60</v>
      </c>
      <c r="R52" s="168" t="s">
        <v>60</v>
      </c>
      <c r="S52" s="168" t="s">
        <v>60</v>
      </c>
      <c r="T52" s="168" t="s">
        <v>60</v>
      </c>
      <c r="U52" s="168"/>
      <c r="V52" s="168"/>
      <c r="W52" s="168"/>
      <c r="X52" s="168"/>
      <c r="Y52" s="168"/>
      <c r="Z52" s="168"/>
      <c r="AA52" s="168"/>
      <c r="AB52" s="168"/>
      <c r="AC52" s="168"/>
      <c r="AD52" s="168"/>
      <c r="AE52" s="168"/>
      <c r="AF52" s="168"/>
      <c r="AG52" s="168"/>
      <c r="AH52" s="168"/>
      <c r="AI52" s="168"/>
      <c r="AJ52" s="168"/>
      <c r="AK52" s="169"/>
      <c r="AL52" s="170"/>
      <c r="AM52" s="171"/>
      <c r="AN52" s="171"/>
      <c r="AO52" s="172"/>
    </row>
    <row r="53" spans="1:41" ht="16.5" thickTop="1" thickBot="1" x14ac:dyDescent="0.3">
      <c r="A53" s="173"/>
      <c r="B53" s="173"/>
      <c r="C53" s="173"/>
      <c r="D53" s="173"/>
      <c r="E53" s="173"/>
      <c r="F53" s="72"/>
      <c r="G53" s="174"/>
      <c r="H53" s="174"/>
      <c r="I53" s="174"/>
      <c r="J53" s="174"/>
      <c r="K53" s="174"/>
      <c r="L53" s="174"/>
      <c r="M53" s="174"/>
      <c r="N53" s="174"/>
      <c r="O53" s="174"/>
      <c r="P53" s="174"/>
      <c r="Q53" s="174"/>
      <c r="R53" s="174"/>
      <c r="S53" s="174"/>
      <c r="T53" s="174"/>
      <c r="U53" s="174"/>
      <c r="V53" s="174"/>
      <c r="W53" s="174"/>
      <c r="X53" s="174"/>
      <c r="Y53" s="174"/>
      <c r="Z53" s="174"/>
      <c r="AA53" s="174"/>
      <c r="AB53" s="174"/>
      <c r="AC53" s="174"/>
      <c r="AD53" s="174"/>
      <c r="AE53" s="174"/>
      <c r="AF53" s="174"/>
      <c r="AG53" s="174"/>
      <c r="AH53" s="174"/>
      <c r="AI53" s="174"/>
      <c r="AJ53" s="174"/>
      <c r="AK53" s="174"/>
      <c r="AL53" s="175"/>
      <c r="AM53" s="175"/>
      <c r="AN53" s="175"/>
      <c r="AO53" s="175"/>
    </row>
    <row r="54" spans="1:41" x14ac:dyDescent="0.25">
      <c r="E54" s="173"/>
      <c r="F54" s="72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4"/>
      <c r="V54" s="174"/>
      <c r="W54" s="174"/>
      <c r="X54" s="174"/>
      <c r="Y54" s="174"/>
      <c r="Z54" s="174"/>
      <c r="AA54" s="174"/>
      <c r="AB54" s="174"/>
      <c r="AC54" s="174"/>
      <c r="AD54" s="174"/>
      <c r="AE54" s="174"/>
      <c r="AF54" s="174"/>
      <c r="AG54" s="174"/>
      <c r="AH54" s="174"/>
      <c r="AI54" s="174"/>
      <c r="AJ54" s="174"/>
      <c r="AK54" s="174"/>
      <c r="AL54" s="294" t="s">
        <v>63</v>
      </c>
      <c r="AM54" s="295"/>
      <c r="AN54" s="176"/>
      <c r="AO54" s="177">
        <f>+MAX(AO24:AO48)</f>
        <v>4</v>
      </c>
    </row>
    <row r="55" spans="1:41" ht="15.75" thickBot="1" x14ac:dyDescent="0.3">
      <c r="A55" s="173"/>
      <c r="B55" s="173"/>
      <c r="C55" s="173"/>
      <c r="D55" s="173"/>
      <c r="E55" s="173"/>
      <c r="F55" s="72"/>
      <c r="G55" s="174"/>
      <c r="H55" s="174"/>
      <c r="I55" s="174"/>
      <c r="J55" s="174"/>
      <c r="K55" s="174"/>
      <c r="L55" s="174"/>
      <c r="M55" s="174"/>
      <c r="N55" s="174"/>
      <c r="O55" s="174"/>
      <c r="P55" s="174"/>
      <c r="Q55" s="174"/>
      <c r="R55" s="174"/>
      <c r="S55" s="174"/>
      <c r="T55" s="174"/>
      <c r="U55" s="174"/>
      <c r="V55" s="174"/>
      <c r="W55" s="174"/>
      <c r="X55" s="174"/>
      <c r="Y55" s="174"/>
      <c r="Z55" s="174"/>
      <c r="AA55" s="174"/>
      <c r="AB55" s="174"/>
      <c r="AC55" s="174"/>
      <c r="AD55" s="174"/>
      <c r="AE55" s="174"/>
      <c r="AF55" s="174"/>
      <c r="AG55" s="174"/>
      <c r="AH55" s="174"/>
      <c r="AI55" s="174"/>
      <c r="AJ55" s="174"/>
      <c r="AK55" s="174"/>
      <c r="AL55" s="296" t="s">
        <v>64</v>
      </c>
      <c r="AM55" s="297"/>
      <c r="AN55" s="178"/>
      <c r="AO55" s="179">
        <f>MIN(AO24:AO48)</f>
        <v>1</v>
      </c>
    </row>
    <row r="56" spans="1:41" ht="16.5" thickTop="1" thickBot="1" x14ac:dyDescent="0.3">
      <c r="A56" s="180"/>
      <c r="B56" s="180"/>
      <c r="C56" s="180"/>
      <c r="D56" s="180"/>
      <c r="E56" s="180"/>
      <c r="F56" s="87"/>
      <c r="G56" s="181" t="str">
        <f t="shared" ref="G56:AK56" si="6">+G22</f>
        <v>lun</v>
      </c>
      <c r="H56" s="182" t="str">
        <f t="shared" si="6"/>
        <v>mar</v>
      </c>
      <c r="I56" s="182" t="str">
        <f t="shared" si="6"/>
        <v>mer</v>
      </c>
      <c r="J56" s="182" t="str">
        <f t="shared" si="6"/>
        <v>jeu</v>
      </c>
      <c r="K56" s="182" t="str">
        <f t="shared" si="6"/>
        <v>ven</v>
      </c>
      <c r="L56" s="182" t="str">
        <f t="shared" si="6"/>
        <v>sam</v>
      </c>
      <c r="M56" s="182" t="str">
        <f t="shared" si="6"/>
        <v>dim</v>
      </c>
      <c r="N56" s="182" t="str">
        <f t="shared" si="6"/>
        <v>lun</v>
      </c>
      <c r="O56" s="182" t="str">
        <f t="shared" si="6"/>
        <v>mar</v>
      </c>
      <c r="P56" s="182" t="str">
        <f t="shared" si="6"/>
        <v>mer</v>
      </c>
      <c r="Q56" s="182" t="str">
        <f t="shared" si="6"/>
        <v>jeu</v>
      </c>
      <c r="R56" s="182" t="str">
        <f t="shared" si="6"/>
        <v>ven</v>
      </c>
      <c r="S56" s="182" t="str">
        <f t="shared" si="6"/>
        <v>sam</v>
      </c>
      <c r="T56" s="183" t="str">
        <f t="shared" si="6"/>
        <v>dim</v>
      </c>
      <c r="U56" s="182" t="str">
        <f t="shared" si="6"/>
        <v>lun</v>
      </c>
      <c r="V56" s="182" t="str">
        <f t="shared" si="6"/>
        <v>mar</v>
      </c>
      <c r="W56" s="182" t="str">
        <f t="shared" si="6"/>
        <v>mer</v>
      </c>
      <c r="X56" s="182" t="str">
        <f t="shared" si="6"/>
        <v>jeu</v>
      </c>
      <c r="Y56" s="182" t="str">
        <f t="shared" si="6"/>
        <v>ven</v>
      </c>
      <c r="Z56" s="182" t="str">
        <f t="shared" si="6"/>
        <v>sam</v>
      </c>
      <c r="AA56" s="182" t="str">
        <f t="shared" si="6"/>
        <v>dim</v>
      </c>
      <c r="AB56" s="182" t="str">
        <f t="shared" si="6"/>
        <v>lun</v>
      </c>
      <c r="AC56" s="182" t="str">
        <f t="shared" si="6"/>
        <v>mar</v>
      </c>
      <c r="AD56" s="182" t="str">
        <f t="shared" si="6"/>
        <v>mer</v>
      </c>
      <c r="AE56" s="182" t="str">
        <f t="shared" si="6"/>
        <v>jeu</v>
      </c>
      <c r="AF56" s="182" t="str">
        <f t="shared" si="6"/>
        <v>ven</v>
      </c>
      <c r="AG56" s="182" t="str">
        <f t="shared" si="6"/>
        <v>sam</v>
      </c>
      <c r="AH56" s="182" t="str">
        <f t="shared" si="6"/>
        <v>dim</v>
      </c>
      <c r="AI56" s="182" t="str">
        <f t="shared" si="6"/>
        <v>lun</v>
      </c>
      <c r="AJ56" s="182" t="str">
        <f t="shared" si="6"/>
        <v>mar</v>
      </c>
      <c r="AK56" s="183" t="str">
        <f t="shared" si="6"/>
        <v>mer</v>
      </c>
      <c r="AL56" s="175"/>
      <c r="AM56" s="175"/>
      <c r="AN56" s="175"/>
      <c r="AO56" s="175"/>
    </row>
    <row r="57" spans="1:41" ht="15.75" thickTop="1" x14ac:dyDescent="0.25">
      <c r="A57" s="298" t="s">
        <v>65</v>
      </c>
      <c r="B57" s="299"/>
      <c r="C57" s="299"/>
      <c r="D57" s="299"/>
      <c r="E57" s="300"/>
      <c r="F57" s="187">
        <v>0.29166666666666669</v>
      </c>
      <c r="G57" s="188">
        <f>SUM(COUNTIFS(G$24:G$48,{"7:00";"9:00"}))</f>
        <v>6</v>
      </c>
      <c r="H57" s="189">
        <f>SUM(COUNTIFS(H$24:H$48,{"7:00";"9:00"}))</f>
        <v>6</v>
      </c>
      <c r="I57" s="189">
        <f>SUM(COUNTIFS(I$24:I$48,{"7:00";"9:00"}))</f>
        <v>5</v>
      </c>
      <c r="J57" s="189">
        <f>SUM(COUNTIFS(J$24:J$48,{"7:00";"9:00"}))</f>
        <v>5</v>
      </c>
      <c r="K57" s="189">
        <f>SUM(COUNTIFS(K$24:K$48,{"7:00";"9:00"}))</f>
        <v>5</v>
      </c>
      <c r="L57" s="189">
        <f>SUM(COUNTIFS(L$24:L$48,{"7:00";"9:00"}))</f>
        <v>4</v>
      </c>
      <c r="M57" s="189">
        <f>SUM(COUNTIFS(M$24:M$48,{"7:00";"9:00"}))</f>
        <v>3</v>
      </c>
      <c r="N57" s="189">
        <f>SUM(COUNTIFS(N$24:N$48,{"7:00";"9:00"}))</f>
        <v>6</v>
      </c>
      <c r="O57" s="189">
        <f>SUM(COUNTIFS(O$24:O$48,{"7:00";"9:00"}))</f>
        <v>6</v>
      </c>
      <c r="P57" s="189">
        <f>SUM(COUNTIFS(P$24:P$48,{"7:00";"9:00"}))</f>
        <v>6</v>
      </c>
      <c r="Q57" s="189">
        <f>SUM(COUNTIFS(Q$24:Q$48,{"7:00";"9:00"}))</f>
        <v>6</v>
      </c>
      <c r="R57" s="189">
        <f>SUM(COUNTIFS(R$24:R$48,{"7:00";"9:00"}))</f>
        <v>5</v>
      </c>
      <c r="S57" s="189">
        <f>SUM(COUNTIFS(S$24:S$48,{"7:00";"9:00"}))</f>
        <v>5</v>
      </c>
      <c r="T57" s="190">
        <f>SUM(COUNTIFS(T$24:T$48,{"7:00";"9:00"}))</f>
        <v>3</v>
      </c>
      <c r="U57" s="188">
        <f>SUM(COUNTIFS(U$24:U$48,{"7:00";"9:00"}))</f>
        <v>10</v>
      </c>
      <c r="V57" s="189">
        <f>SUM(COUNTIFS(V$24:V$48,{"7:00";"9:00"}))</f>
        <v>10</v>
      </c>
      <c r="W57" s="189">
        <f>SUM(COUNTIFS(W$24:W$48,{"7:00";"9:00"}))</f>
        <v>10</v>
      </c>
      <c r="X57" s="189">
        <f>SUM(COUNTIFS(X$24:X$48,{"7:00";"9:00"}))</f>
        <v>9</v>
      </c>
      <c r="Y57" s="189">
        <f>SUM(COUNTIFS(Y$24:Y$48,{"7:00";"9:00"}))</f>
        <v>9</v>
      </c>
      <c r="Z57" s="189">
        <f>SUM(COUNTIFS(Z$24:Z$48,{"7:00";"9:00"}))</f>
        <v>8</v>
      </c>
      <c r="AA57" s="189">
        <f>SUM(COUNTIFS(AA$24:AA$48,{"7:00";"9:00"}))</f>
        <v>8</v>
      </c>
      <c r="AB57" s="189">
        <f>SUM(COUNTIFS(AB$24:AB$48,{"7:00";"9:00"}))</f>
        <v>10</v>
      </c>
      <c r="AC57" s="189">
        <f>SUM(COUNTIFS(AC$24:AC$48,{"7:00";"9:00"}))</f>
        <v>10</v>
      </c>
      <c r="AD57" s="189">
        <f>SUM(COUNTIFS(AD$24:AD$48,{"7:00";"9:00"}))</f>
        <v>10</v>
      </c>
      <c r="AE57" s="189">
        <f>SUM(COUNTIFS(AE$24:AE$48,{"7:00";"9:00"}))</f>
        <v>9</v>
      </c>
      <c r="AF57" s="189">
        <f>SUM(COUNTIFS(AF$24:AF$48,{"7:00";"9:00"}))</f>
        <v>9</v>
      </c>
      <c r="AG57" s="189">
        <f>SUM(COUNTIFS(AG$24:AG$48,{"7:00";"9:00"}))</f>
        <v>8</v>
      </c>
      <c r="AH57" s="189">
        <f>SUM(COUNTIFS(AH$24:AH$48,{"7:00";"9:00"}))</f>
        <v>8</v>
      </c>
      <c r="AI57" s="189">
        <f>SUM(COUNTIFS(AI$24:AI$48,{"7:00";"9:00"}))</f>
        <v>10</v>
      </c>
      <c r="AJ57" s="189">
        <f>SUM(COUNTIFS(AJ$24:AJ$48,{"7:00";"9:00"}))</f>
        <v>10</v>
      </c>
      <c r="AK57" s="190">
        <f>SUM(COUNTIFS(AK$24:AK$48,{"7:00";"9:00"}))</f>
        <v>10</v>
      </c>
      <c r="AL57" s="175"/>
      <c r="AM57" s="175"/>
      <c r="AN57" s="175"/>
      <c r="AO57" s="175"/>
    </row>
    <row r="58" spans="1:41" x14ac:dyDescent="0.25">
      <c r="A58" s="257" t="s">
        <v>66</v>
      </c>
      <c r="B58" s="258"/>
      <c r="C58" s="258"/>
      <c r="D58" s="258"/>
      <c r="E58" s="259"/>
      <c r="F58" s="111">
        <v>0.5</v>
      </c>
      <c r="G58" s="194">
        <f t="shared" ref="G58:AK58" si="7">COUNTIF(G$24:G$36,"12:00")</f>
        <v>4</v>
      </c>
      <c r="H58" s="195">
        <f t="shared" si="7"/>
        <v>4</v>
      </c>
      <c r="I58" s="195">
        <f t="shared" si="7"/>
        <v>4</v>
      </c>
      <c r="J58" s="195">
        <f t="shared" si="7"/>
        <v>4</v>
      </c>
      <c r="K58" s="195">
        <f t="shared" si="7"/>
        <v>3</v>
      </c>
      <c r="L58" s="195">
        <f t="shared" si="7"/>
        <v>4</v>
      </c>
      <c r="M58" s="195">
        <f t="shared" si="7"/>
        <v>3</v>
      </c>
      <c r="N58" s="195">
        <f t="shared" si="7"/>
        <v>5</v>
      </c>
      <c r="O58" s="195">
        <f t="shared" si="7"/>
        <v>5</v>
      </c>
      <c r="P58" s="196">
        <f t="shared" si="7"/>
        <v>4</v>
      </c>
      <c r="Q58" s="196">
        <f t="shared" si="7"/>
        <v>4</v>
      </c>
      <c r="R58" s="196">
        <f t="shared" si="7"/>
        <v>4</v>
      </c>
      <c r="S58" s="197">
        <f t="shared" si="7"/>
        <v>4</v>
      </c>
      <c r="T58" s="197">
        <f t="shared" si="7"/>
        <v>3</v>
      </c>
      <c r="U58" s="194">
        <f t="shared" si="7"/>
        <v>3</v>
      </c>
      <c r="V58" s="196">
        <f t="shared" si="7"/>
        <v>3</v>
      </c>
      <c r="W58" s="196">
        <f t="shared" si="7"/>
        <v>3</v>
      </c>
      <c r="X58" s="196">
        <f t="shared" si="7"/>
        <v>4</v>
      </c>
      <c r="Y58" s="196">
        <f t="shared" si="7"/>
        <v>4</v>
      </c>
      <c r="Z58" s="196">
        <f t="shared" si="7"/>
        <v>5</v>
      </c>
      <c r="AA58" s="196">
        <f t="shared" si="7"/>
        <v>5</v>
      </c>
      <c r="AB58" s="196">
        <f t="shared" si="7"/>
        <v>3</v>
      </c>
      <c r="AC58" s="196">
        <f t="shared" si="7"/>
        <v>3</v>
      </c>
      <c r="AD58" s="196">
        <f t="shared" si="7"/>
        <v>3</v>
      </c>
      <c r="AE58" s="196">
        <f t="shared" si="7"/>
        <v>4</v>
      </c>
      <c r="AF58" s="196">
        <f t="shared" si="7"/>
        <v>4</v>
      </c>
      <c r="AG58" s="196">
        <f t="shared" si="7"/>
        <v>5</v>
      </c>
      <c r="AH58" s="196">
        <f t="shared" si="7"/>
        <v>5</v>
      </c>
      <c r="AI58" s="196">
        <f t="shared" si="7"/>
        <v>3</v>
      </c>
      <c r="AJ58" s="196">
        <f t="shared" si="7"/>
        <v>3</v>
      </c>
      <c r="AK58" s="197">
        <f t="shared" si="7"/>
        <v>3</v>
      </c>
      <c r="AL58" s="175"/>
      <c r="AM58" s="175"/>
      <c r="AN58" s="175"/>
      <c r="AO58" s="175"/>
    </row>
    <row r="59" spans="1:41" x14ac:dyDescent="0.25">
      <c r="A59" s="263" t="s">
        <v>67</v>
      </c>
      <c r="B59" s="264"/>
      <c r="C59" s="264"/>
      <c r="D59" s="264"/>
      <c r="E59" s="265"/>
      <c r="F59" s="201" t="s">
        <v>68</v>
      </c>
      <c r="G59" s="202">
        <f t="shared" ref="G59:AK59" si="8">COUNTIF(G$24:G$48,"O*")</f>
        <v>2</v>
      </c>
      <c r="H59" s="196">
        <f t="shared" si="8"/>
        <v>2</v>
      </c>
      <c r="I59" s="196">
        <f t="shared" si="8"/>
        <v>3</v>
      </c>
      <c r="J59" s="196">
        <f t="shared" si="8"/>
        <v>3</v>
      </c>
      <c r="K59" s="196">
        <f t="shared" si="8"/>
        <v>4</v>
      </c>
      <c r="L59" s="196">
        <f t="shared" si="8"/>
        <v>4</v>
      </c>
      <c r="M59" s="196">
        <f t="shared" si="8"/>
        <v>6</v>
      </c>
      <c r="N59" s="196">
        <f t="shared" si="8"/>
        <v>2</v>
      </c>
      <c r="O59" s="196">
        <f t="shared" si="8"/>
        <v>2</v>
      </c>
      <c r="P59" s="196">
        <f t="shared" si="8"/>
        <v>3</v>
      </c>
      <c r="Q59" s="196">
        <f t="shared" si="8"/>
        <v>3</v>
      </c>
      <c r="R59" s="196">
        <f t="shared" si="8"/>
        <v>4</v>
      </c>
      <c r="S59" s="196">
        <f t="shared" si="8"/>
        <v>4</v>
      </c>
      <c r="T59" s="203">
        <f t="shared" si="8"/>
        <v>7</v>
      </c>
      <c r="U59" s="202">
        <f t="shared" si="8"/>
        <v>0</v>
      </c>
      <c r="V59" s="196">
        <f t="shared" si="8"/>
        <v>0</v>
      </c>
      <c r="W59" s="196">
        <f t="shared" si="8"/>
        <v>0</v>
      </c>
      <c r="X59" s="196">
        <f t="shared" si="8"/>
        <v>0</v>
      </c>
      <c r="Y59" s="196">
        <f t="shared" si="8"/>
        <v>0</v>
      </c>
      <c r="Z59" s="196">
        <f t="shared" si="8"/>
        <v>0</v>
      </c>
      <c r="AA59" s="196">
        <f t="shared" si="8"/>
        <v>0</v>
      </c>
      <c r="AB59" s="196">
        <f t="shared" si="8"/>
        <v>0</v>
      </c>
      <c r="AC59" s="196">
        <f t="shared" si="8"/>
        <v>0</v>
      </c>
      <c r="AD59" s="196">
        <f t="shared" si="8"/>
        <v>0</v>
      </c>
      <c r="AE59" s="196">
        <f t="shared" si="8"/>
        <v>0</v>
      </c>
      <c r="AF59" s="196">
        <f t="shared" si="8"/>
        <v>0</v>
      </c>
      <c r="AG59" s="196">
        <f t="shared" si="8"/>
        <v>0</v>
      </c>
      <c r="AH59" s="196">
        <f t="shared" si="8"/>
        <v>0</v>
      </c>
      <c r="AI59" s="196">
        <f t="shared" si="8"/>
        <v>0</v>
      </c>
      <c r="AJ59" s="196">
        <f t="shared" si="8"/>
        <v>0</v>
      </c>
      <c r="AK59" s="203">
        <f t="shared" si="8"/>
        <v>0</v>
      </c>
      <c r="AL59" s="175"/>
      <c r="AM59" s="175"/>
      <c r="AN59" s="175"/>
      <c r="AO59" s="175"/>
    </row>
    <row r="60" spans="1:41" ht="15.75" thickBot="1" x14ac:dyDescent="0.3">
      <c r="A60" s="266" t="s">
        <v>69</v>
      </c>
      <c r="B60" s="267" t="s">
        <v>70</v>
      </c>
      <c r="C60" s="267"/>
      <c r="D60" s="267"/>
      <c r="E60" s="268"/>
      <c r="F60" s="207" t="s">
        <v>53</v>
      </c>
      <c r="G60" s="208">
        <f t="shared" ref="G60:AK60" si="9">COUNTIF(G$24:G$48,"C*")</f>
        <v>1</v>
      </c>
      <c r="H60" s="209">
        <f t="shared" si="9"/>
        <v>1</v>
      </c>
      <c r="I60" s="209">
        <f t="shared" si="9"/>
        <v>1</v>
      </c>
      <c r="J60" s="209">
        <f t="shared" si="9"/>
        <v>1</v>
      </c>
      <c r="K60" s="209">
        <f t="shared" si="9"/>
        <v>1</v>
      </c>
      <c r="L60" s="209">
        <f t="shared" si="9"/>
        <v>1</v>
      </c>
      <c r="M60" s="209">
        <f t="shared" si="9"/>
        <v>1</v>
      </c>
      <c r="N60" s="209">
        <f t="shared" si="9"/>
        <v>0</v>
      </c>
      <c r="O60" s="209">
        <f t="shared" si="9"/>
        <v>0</v>
      </c>
      <c r="P60" s="209">
        <f t="shared" si="9"/>
        <v>0</v>
      </c>
      <c r="Q60" s="209">
        <f t="shared" si="9"/>
        <v>0</v>
      </c>
      <c r="R60" s="209">
        <f t="shared" si="9"/>
        <v>0</v>
      </c>
      <c r="S60" s="209">
        <f t="shared" si="9"/>
        <v>0</v>
      </c>
      <c r="T60" s="210">
        <f t="shared" si="9"/>
        <v>0</v>
      </c>
      <c r="U60" s="208">
        <f t="shared" si="9"/>
        <v>0</v>
      </c>
      <c r="V60" s="209">
        <f t="shared" si="9"/>
        <v>0</v>
      </c>
      <c r="W60" s="209">
        <f t="shared" si="9"/>
        <v>0</v>
      </c>
      <c r="X60" s="209">
        <f t="shared" si="9"/>
        <v>0</v>
      </c>
      <c r="Y60" s="209">
        <f t="shared" si="9"/>
        <v>0</v>
      </c>
      <c r="Z60" s="209">
        <f t="shared" si="9"/>
        <v>0</v>
      </c>
      <c r="AA60" s="209">
        <f t="shared" si="9"/>
        <v>0</v>
      </c>
      <c r="AB60" s="209">
        <f t="shared" si="9"/>
        <v>0</v>
      </c>
      <c r="AC60" s="209">
        <f t="shared" si="9"/>
        <v>0</v>
      </c>
      <c r="AD60" s="209">
        <f t="shared" si="9"/>
        <v>0</v>
      </c>
      <c r="AE60" s="209">
        <f t="shared" si="9"/>
        <v>0</v>
      </c>
      <c r="AF60" s="209">
        <f t="shared" si="9"/>
        <v>0</v>
      </c>
      <c r="AG60" s="209">
        <f t="shared" si="9"/>
        <v>0</v>
      </c>
      <c r="AH60" s="209">
        <f t="shared" si="9"/>
        <v>0</v>
      </c>
      <c r="AI60" s="209">
        <f t="shared" si="9"/>
        <v>0</v>
      </c>
      <c r="AJ60" s="209">
        <f t="shared" si="9"/>
        <v>0</v>
      </c>
      <c r="AK60" s="210">
        <f t="shared" si="9"/>
        <v>0</v>
      </c>
      <c r="AL60" s="175"/>
      <c r="AM60" s="175"/>
      <c r="AN60" s="175"/>
      <c r="AO60" s="175"/>
    </row>
    <row r="61" spans="1:41" x14ac:dyDescent="0.25">
      <c r="A61" s="269" t="s">
        <v>71</v>
      </c>
      <c r="B61" s="270"/>
      <c r="C61" s="270"/>
      <c r="D61" s="270"/>
      <c r="E61" s="271"/>
      <c r="F61" s="214"/>
      <c r="G61" s="215">
        <v>10.766561946396372</v>
      </c>
      <c r="H61" s="216">
        <v>10.360384260409695</v>
      </c>
      <c r="I61" s="216">
        <v>9.7094846448475369</v>
      </c>
      <c r="J61" s="216">
        <v>10.129767749626875</v>
      </c>
      <c r="K61" s="216">
        <v>10.455816838757986</v>
      </c>
      <c r="L61" s="216">
        <v>9.1920535390466807</v>
      </c>
      <c r="M61" s="216">
        <v>3.9965614299707317</v>
      </c>
      <c r="N61" s="216">
        <v>11.231935093952336</v>
      </c>
      <c r="O61" s="216">
        <v>10.808200811056103</v>
      </c>
      <c r="P61" s="216">
        <v>10.129166754402606</v>
      </c>
      <c r="Q61" s="216">
        <v>10.567616147762235</v>
      </c>
      <c r="R61" s="216">
        <v>10.907758360735674</v>
      </c>
      <c r="S61" s="216">
        <v>9.5893702413762352</v>
      </c>
      <c r="T61" s="217">
        <v>4.1693085317220708</v>
      </c>
      <c r="U61" s="218"/>
      <c r="V61" s="216"/>
      <c r="W61" s="216"/>
      <c r="X61" s="216"/>
      <c r="Y61" s="216"/>
      <c r="Z61" s="216"/>
      <c r="AA61" s="216"/>
      <c r="AB61" s="216"/>
      <c r="AC61" s="216"/>
      <c r="AD61" s="216"/>
      <c r="AE61" s="216"/>
      <c r="AF61" s="216"/>
      <c r="AG61" s="216"/>
      <c r="AH61" s="216"/>
      <c r="AI61" s="216"/>
      <c r="AJ61" s="216"/>
      <c r="AK61" s="217"/>
      <c r="AL61" s="175"/>
      <c r="AM61" s="175"/>
      <c r="AN61" s="175"/>
      <c r="AO61" s="175"/>
    </row>
    <row r="62" spans="1:41" x14ac:dyDescent="0.25">
      <c r="A62" s="272" t="s">
        <v>72</v>
      </c>
      <c r="B62" s="273"/>
      <c r="C62" s="273"/>
      <c r="D62" s="273"/>
      <c r="E62" s="274"/>
      <c r="F62" s="222"/>
      <c r="G62" s="223">
        <v>8.738201975046854</v>
      </c>
      <c r="H62" s="224">
        <v>8.6013342137993316</v>
      </c>
      <c r="I62" s="224">
        <v>8.8063523632382097</v>
      </c>
      <c r="J62" s="224">
        <v>8.3030712767514672</v>
      </c>
      <c r="K62" s="224">
        <v>8.5707674077453593</v>
      </c>
      <c r="L62" s="224">
        <v>7.1643621213745314</v>
      </c>
      <c r="M62" s="224">
        <v>3.5562207520046791</v>
      </c>
      <c r="N62" s="224">
        <v>9.1104984364074291</v>
      </c>
      <c r="O62" s="224">
        <v>8.9677147122770631</v>
      </c>
      <c r="P62" s="224">
        <v>9.1815945523824212</v>
      </c>
      <c r="Q62" s="224">
        <v>8.6565596781508276</v>
      </c>
      <c r="R62" s="224">
        <v>8.9358266886594091</v>
      </c>
      <c r="S62" s="224">
        <v>7.4686310350277667</v>
      </c>
      <c r="T62" s="225">
        <v>3.7045316064138905</v>
      </c>
      <c r="U62" s="226"/>
      <c r="V62" s="224"/>
      <c r="W62" s="224"/>
      <c r="X62" s="224"/>
      <c r="Y62" s="224"/>
      <c r="Z62" s="224"/>
      <c r="AA62" s="224"/>
      <c r="AB62" s="224"/>
      <c r="AC62" s="224"/>
      <c r="AD62" s="224"/>
      <c r="AE62" s="224"/>
      <c r="AF62" s="224"/>
      <c r="AG62" s="224"/>
      <c r="AH62" s="224"/>
      <c r="AI62" s="224"/>
      <c r="AJ62" s="224"/>
      <c r="AK62" s="225"/>
      <c r="AL62" s="175"/>
      <c r="AM62" s="175"/>
      <c r="AN62" s="175"/>
      <c r="AO62" s="175"/>
    </row>
    <row r="63" spans="1:41" ht="15.75" thickBot="1" x14ac:dyDescent="0.3">
      <c r="A63" s="275" t="s">
        <v>73</v>
      </c>
      <c r="B63" s="276"/>
      <c r="C63" s="276"/>
      <c r="D63" s="276"/>
      <c r="E63" s="277"/>
      <c r="F63" s="230"/>
      <c r="G63" s="231">
        <f>SUM(G61:G62)</f>
        <v>19.504763921443228</v>
      </c>
      <c r="H63" s="232">
        <f t="shared" ref="H63:AK63" si="10">SUM(H61:H62)</f>
        <v>18.961718474209029</v>
      </c>
      <c r="I63" s="232">
        <f t="shared" si="10"/>
        <v>18.515837008085747</v>
      </c>
      <c r="J63" s="232">
        <f>SUM(J61:J62)</f>
        <v>18.432839026378343</v>
      </c>
      <c r="K63" s="232">
        <f t="shared" si="10"/>
        <v>19.026584246503347</v>
      </c>
      <c r="L63" s="232">
        <f t="shared" si="10"/>
        <v>16.356415660421213</v>
      </c>
      <c r="M63" s="232">
        <f t="shared" si="10"/>
        <v>7.5527821819754113</v>
      </c>
      <c r="N63" s="232">
        <f>SUM(N61:N62)</f>
        <v>20.342433530359763</v>
      </c>
      <c r="O63" s="232">
        <f t="shared" si="10"/>
        <v>19.775915523333168</v>
      </c>
      <c r="P63" s="232">
        <f t="shared" si="10"/>
        <v>19.310761306785025</v>
      </c>
      <c r="Q63" s="232">
        <f t="shared" si="10"/>
        <v>19.224175825913065</v>
      </c>
      <c r="R63" s="232">
        <f t="shared" si="10"/>
        <v>19.843585049395081</v>
      </c>
      <c r="S63" s="232">
        <f t="shared" si="10"/>
        <v>17.058001276404003</v>
      </c>
      <c r="T63" s="233">
        <f t="shared" si="10"/>
        <v>7.8738401381359608</v>
      </c>
      <c r="U63" s="234">
        <f t="shared" si="10"/>
        <v>0</v>
      </c>
      <c r="V63" s="232">
        <f t="shared" si="10"/>
        <v>0</v>
      </c>
      <c r="W63" s="232">
        <f t="shared" si="10"/>
        <v>0</v>
      </c>
      <c r="X63" s="232">
        <f t="shared" si="10"/>
        <v>0</v>
      </c>
      <c r="Y63" s="232">
        <f t="shared" si="10"/>
        <v>0</v>
      </c>
      <c r="Z63" s="232">
        <f t="shared" si="10"/>
        <v>0</v>
      </c>
      <c r="AA63" s="232">
        <f t="shared" si="10"/>
        <v>0</v>
      </c>
      <c r="AB63" s="232">
        <f t="shared" si="10"/>
        <v>0</v>
      </c>
      <c r="AC63" s="232">
        <f t="shared" si="10"/>
        <v>0</v>
      </c>
      <c r="AD63" s="232">
        <f t="shared" si="10"/>
        <v>0</v>
      </c>
      <c r="AE63" s="232">
        <f t="shared" si="10"/>
        <v>0</v>
      </c>
      <c r="AF63" s="232">
        <f t="shared" si="10"/>
        <v>0</v>
      </c>
      <c r="AG63" s="232">
        <f t="shared" si="10"/>
        <v>0</v>
      </c>
      <c r="AH63" s="232">
        <f t="shared" si="10"/>
        <v>0</v>
      </c>
      <c r="AI63" s="232">
        <f t="shared" si="10"/>
        <v>0</v>
      </c>
      <c r="AJ63" s="232">
        <f t="shared" si="10"/>
        <v>0</v>
      </c>
      <c r="AK63" s="233">
        <f t="shared" si="10"/>
        <v>0</v>
      </c>
      <c r="AL63" s="175"/>
      <c r="AM63" s="175"/>
      <c r="AN63" s="175"/>
      <c r="AO63" s="175"/>
    </row>
    <row r="64" spans="1:41" x14ac:dyDescent="0.25">
      <c r="A64" s="278" t="s">
        <v>74</v>
      </c>
      <c r="B64" s="279"/>
      <c r="C64" s="279"/>
      <c r="D64" s="279"/>
      <c r="E64" s="280"/>
      <c r="F64" s="238"/>
      <c r="G64" s="239">
        <f>SUM(G57:G58)</f>
        <v>10</v>
      </c>
      <c r="H64" s="240">
        <f t="shared" ref="H64:AK64" si="11">SUM(H57:H58)</f>
        <v>10</v>
      </c>
      <c r="I64" s="240">
        <f t="shared" si="11"/>
        <v>9</v>
      </c>
      <c r="J64" s="240">
        <f t="shared" si="11"/>
        <v>9</v>
      </c>
      <c r="K64" s="240">
        <f t="shared" si="11"/>
        <v>8</v>
      </c>
      <c r="L64" s="240">
        <f t="shared" si="11"/>
        <v>8</v>
      </c>
      <c r="M64" s="240">
        <f t="shared" si="11"/>
        <v>6</v>
      </c>
      <c r="N64" s="240">
        <f t="shared" si="11"/>
        <v>11</v>
      </c>
      <c r="O64" s="240">
        <f t="shared" si="11"/>
        <v>11</v>
      </c>
      <c r="P64" s="240">
        <f t="shared" si="11"/>
        <v>10</v>
      </c>
      <c r="Q64" s="240">
        <f t="shared" si="11"/>
        <v>10</v>
      </c>
      <c r="R64" s="240">
        <f t="shared" si="11"/>
        <v>9</v>
      </c>
      <c r="S64" s="240">
        <f t="shared" si="11"/>
        <v>9</v>
      </c>
      <c r="T64" s="241">
        <f t="shared" si="11"/>
        <v>6</v>
      </c>
      <c r="U64" s="242">
        <f t="shared" si="11"/>
        <v>13</v>
      </c>
      <c r="V64" s="240">
        <f t="shared" si="11"/>
        <v>13</v>
      </c>
      <c r="W64" s="240">
        <f t="shared" si="11"/>
        <v>13</v>
      </c>
      <c r="X64" s="240">
        <f t="shared" si="11"/>
        <v>13</v>
      </c>
      <c r="Y64" s="240">
        <f t="shared" si="11"/>
        <v>13</v>
      </c>
      <c r="Z64" s="240">
        <f t="shared" si="11"/>
        <v>13</v>
      </c>
      <c r="AA64" s="240">
        <f t="shared" si="11"/>
        <v>13</v>
      </c>
      <c r="AB64" s="240">
        <f t="shared" si="11"/>
        <v>13</v>
      </c>
      <c r="AC64" s="240">
        <f t="shared" si="11"/>
        <v>13</v>
      </c>
      <c r="AD64" s="240">
        <f t="shared" si="11"/>
        <v>13</v>
      </c>
      <c r="AE64" s="240">
        <f t="shared" si="11"/>
        <v>13</v>
      </c>
      <c r="AF64" s="240">
        <f t="shared" si="11"/>
        <v>13</v>
      </c>
      <c r="AG64" s="240">
        <f t="shared" si="11"/>
        <v>13</v>
      </c>
      <c r="AH64" s="240">
        <f t="shared" si="11"/>
        <v>13</v>
      </c>
      <c r="AI64" s="240">
        <f t="shared" si="11"/>
        <v>13</v>
      </c>
      <c r="AJ64" s="240">
        <f t="shared" si="11"/>
        <v>13</v>
      </c>
      <c r="AK64" s="241">
        <f t="shared" si="11"/>
        <v>13</v>
      </c>
      <c r="AL64" s="175"/>
      <c r="AM64" s="175"/>
      <c r="AN64" s="175"/>
      <c r="AO64" s="175"/>
    </row>
    <row r="65" spans="1:41" x14ac:dyDescent="0.25">
      <c r="A65" s="257" t="s">
        <v>75</v>
      </c>
      <c r="B65" s="258"/>
      <c r="C65" s="258"/>
      <c r="D65" s="258"/>
      <c r="E65" s="259"/>
      <c r="F65" s="243"/>
      <c r="G65" s="244">
        <f>-G64+G63</f>
        <v>9.504763921443228</v>
      </c>
      <c r="H65" s="245">
        <f t="shared" ref="H65:AK65" si="12">-H64+H63</f>
        <v>8.9617184742090288</v>
      </c>
      <c r="I65" s="245">
        <f t="shared" si="12"/>
        <v>9.5158370080857466</v>
      </c>
      <c r="J65" s="245">
        <f t="shared" si="12"/>
        <v>9.4328390263783426</v>
      </c>
      <c r="K65" s="245">
        <f t="shared" si="12"/>
        <v>11.026584246503347</v>
      </c>
      <c r="L65" s="245">
        <f t="shared" si="12"/>
        <v>8.356415660421213</v>
      </c>
      <c r="M65" s="245">
        <f t="shared" si="12"/>
        <v>1.5527821819754113</v>
      </c>
      <c r="N65" s="245">
        <f t="shared" si="12"/>
        <v>9.342433530359763</v>
      </c>
      <c r="O65" s="245">
        <f t="shared" si="12"/>
        <v>8.7759155233331683</v>
      </c>
      <c r="P65" s="245">
        <f t="shared" si="12"/>
        <v>9.3107613067850252</v>
      </c>
      <c r="Q65" s="245">
        <f t="shared" si="12"/>
        <v>9.2241758259130648</v>
      </c>
      <c r="R65" s="245">
        <f t="shared" si="12"/>
        <v>10.843585049395081</v>
      </c>
      <c r="S65" s="245">
        <f t="shared" si="12"/>
        <v>8.0580012764040028</v>
      </c>
      <c r="T65" s="246">
        <f t="shared" si="12"/>
        <v>1.8738401381359608</v>
      </c>
      <c r="U65" s="247">
        <f t="shared" si="12"/>
        <v>-13</v>
      </c>
      <c r="V65" s="245">
        <f t="shared" si="12"/>
        <v>-13</v>
      </c>
      <c r="W65" s="245">
        <f t="shared" si="12"/>
        <v>-13</v>
      </c>
      <c r="X65" s="245">
        <f t="shared" si="12"/>
        <v>-13</v>
      </c>
      <c r="Y65" s="245">
        <f t="shared" si="12"/>
        <v>-13</v>
      </c>
      <c r="Z65" s="245">
        <f t="shared" si="12"/>
        <v>-13</v>
      </c>
      <c r="AA65" s="245">
        <f t="shared" si="12"/>
        <v>-13</v>
      </c>
      <c r="AB65" s="245">
        <f t="shared" si="12"/>
        <v>-13</v>
      </c>
      <c r="AC65" s="245">
        <f t="shared" si="12"/>
        <v>-13</v>
      </c>
      <c r="AD65" s="245">
        <f t="shared" si="12"/>
        <v>-13</v>
      </c>
      <c r="AE65" s="245">
        <f t="shared" si="12"/>
        <v>-13</v>
      </c>
      <c r="AF65" s="245">
        <f t="shared" si="12"/>
        <v>-13</v>
      </c>
      <c r="AG65" s="245">
        <f t="shared" si="12"/>
        <v>-13</v>
      </c>
      <c r="AH65" s="245">
        <f t="shared" si="12"/>
        <v>-13</v>
      </c>
      <c r="AI65" s="245">
        <f t="shared" si="12"/>
        <v>-13</v>
      </c>
      <c r="AJ65" s="245">
        <f t="shared" si="12"/>
        <v>-13</v>
      </c>
      <c r="AK65" s="246">
        <f t="shared" si="12"/>
        <v>-13</v>
      </c>
      <c r="AL65" s="175"/>
      <c r="AM65" s="175"/>
      <c r="AN65" s="175"/>
      <c r="AO65" s="175"/>
    </row>
    <row r="66" spans="1:41" ht="15.75" thickBot="1" x14ac:dyDescent="0.3">
      <c r="A66" s="260" t="s">
        <v>76</v>
      </c>
      <c r="B66" s="261"/>
      <c r="C66" s="261"/>
      <c r="D66" s="261"/>
      <c r="E66" s="262"/>
      <c r="F66" s="251"/>
      <c r="G66" s="252">
        <f t="shared" ref="G66:AK66" si="13">COUNTA($B$24:$B$36)</f>
        <v>13</v>
      </c>
      <c r="H66" s="253">
        <f t="shared" si="13"/>
        <v>13</v>
      </c>
      <c r="I66" s="253">
        <f t="shared" si="13"/>
        <v>13</v>
      </c>
      <c r="J66" s="253">
        <f t="shared" si="13"/>
        <v>13</v>
      </c>
      <c r="K66" s="253">
        <f t="shared" si="13"/>
        <v>13</v>
      </c>
      <c r="L66" s="253">
        <f t="shared" si="13"/>
        <v>13</v>
      </c>
      <c r="M66" s="253">
        <f t="shared" si="13"/>
        <v>13</v>
      </c>
      <c r="N66" s="253">
        <f t="shared" si="13"/>
        <v>13</v>
      </c>
      <c r="O66" s="253">
        <f t="shared" si="13"/>
        <v>13</v>
      </c>
      <c r="P66" s="253">
        <f t="shared" si="13"/>
        <v>13</v>
      </c>
      <c r="Q66" s="253">
        <f t="shared" si="13"/>
        <v>13</v>
      </c>
      <c r="R66" s="253">
        <f t="shared" si="13"/>
        <v>13</v>
      </c>
      <c r="S66" s="253">
        <f t="shared" si="13"/>
        <v>13</v>
      </c>
      <c r="T66" s="254">
        <f t="shared" si="13"/>
        <v>13</v>
      </c>
      <c r="U66" s="255">
        <f t="shared" si="13"/>
        <v>13</v>
      </c>
      <c r="V66" s="253">
        <f t="shared" si="13"/>
        <v>13</v>
      </c>
      <c r="W66" s="253">
        <f t="shared" si="13"/>
        <v>13</v>
      </c>
      <c r="X66" s="253">
        <f t="shared" si="13"/>
        <v>13</v>
      </c>
      <c r="Y66" s="253">
        <f t="shared" si="13"/>
        <v>13</v>
      </c>
      <c r="Z66" s="253">
        <f t="shared" si="13"/>
        <v>13</v>
      </c>
      <c r="AA66" s="253">
        <f t="shared" si="13"/>
        <v>13</v>
      </c>
      <c r="AB66" s="253">
        <f t="shared" si="13"/>
        <v>13</v>
      </c>
      <c r="AC66" s="253">
        <f t="shared" si="13"/>
        <v>13</v>
      </c>
      <c r="AD66" s="253">
        <f t="shared" si="13"/>
        <v>13</v>
      </c>
      <c r="AE66" s="253">
        <f t="shared" si="13"/>
        <v>13</v>
      </c>
      <c r="AF66" s="253">
        <f t="shared" si="13"/>
        <v>13</v>
      </c>
      <c r="AG66" s="253">
        <f t="shared" si="13"/>
        <v>13</v>
      </c>
      <c r="AH66" s="253">
        <f t="shared" si="13"/>
        <v>13</v>
      </c>
      <c r="AI66" s="253">
        <f t="shared" si="13"/>
        <v>13</v>
      </c>
      <c r="AJ66" s="253">
        <f t="shared" si="13"/>
        <v>13</v>
      </c>
      <c r="AK66" s="254">
        <f t="shared" si="13"/>
        <v>13</v>
      </c>
      <c r="AL66" s="175"/>
      <c r="AM66" s="175"/>
      <c r="AN66" s="175"/>
      <c r="AO66" s="175"/>
    </row>
    <row r="67" spans="1:41" ht="15.75" thickTop="1" x14ac:dyDescent="0.25"/>
    <row r="68" spans="1:41" x14ac:dyDescent="0.25">
      <c r="I68" s="10"/>
      <c r="Q68" s="256"/>
    </row>
    <row r="69" spans="1:41" x14ac:dyDescent="0.25">
      <c r="I69" s="10"/>
      <c r="Q69" s="256"/>
    </row>
  </sheetData>
  <sheetProtection formatColumns="0"/>
  <mergeCells count="26">
    <mergeCell ref="A58:E58"/>
    <mergeCell ref="AA15:AB15"/>
    <mergeCell ref="AC15:AE15"/>
    <mergeCell ref="AF15:AH15"/>
    <mergeCell ref="G17:U18"/>
    <mergeCell ref="V17:AC18"/>
    <mergeCell ref="AD17:AI18"/>
    <mergeCell ref="A13:F15"/>
    <mergeCell ref="K14:L14"/>
    <mergeCell ref="Y14:Z14"/>
    <mergeCell ref="M15:N15"/>
    <mergeCell ref="O15:Q15"/>
    <mergeCell ref="R15:T15"/>
    <mergeCell ref="A20:F22"/>
    <mergeCell ref="AL20:AO22"/>
    <mergeCell ref="AL54:AM54"/>
    <mergeCell ref="AL55:AM55"/>
    <mergeCell ref="A57:E57"/>
    <mergeCell ref="A65:E65"/>
    <mergeCell ref="A66:E66"/>
    <mergeCell ref="A59:E59"/>
    <mergeCell ref="A60:E60"/>
    <mergeCell ref="A61:E61"/>
    <mergeCell ref="A62:E62"/>
    <mergeCell ref="A63:E63"/>
    <mergeCell ref="A64:E64"/>
  </mergeCells>
  <conditionalFormatting sqref="G53:AK55 AL56:AO66 AL53:AO53">
    <cfRule type="expression" dxfId="62" priority="25">
      <formula>LEFT(G53,1)="O"</formula>
    </cfRule>
    <cfRule type="expression" dxfId="61" priority="26">
      <formula>LEFT(G53,1)="A"</formula>
    </cfRule>
    <cfRule type="expression" dxfId="60" priority="27">
      <formula>LEFT(G53,1)="M"</formula>
    </cfRule>
  </conditionalFormatting>
  <conditionalFormatting sqref="G24:AK36">
    <cfRule type="cellIs" dxfId="59" priority="11" operator="equal">
      <formula>0.5</formula>
    </cfRule>
    <cfRule type="cellIs" dxfId="58" priority="12" operator="equal">
      <formula>0.375</formula>
    </cfRule>
    <cfRule type="cellIs" dxfId="57" priority="19" operator="equal">
      <formula>"C"</formula>
    </cfRule>
    <cfRule type="expression" dxfId="56" priority="22">
      <formula>LEFT(G24,1)="O"</formula>
    </cfRule>
    <cfRule type="expression" dxfId="55" priority="23">
      <formula>LEFT(G24,1)="A"</formula>
    </cfRule>
    <cfRule type="expression" dxfId="54" priority="24">
      <formula>LEFT(G24,1)="F*"</formula>
    </cfRule>
  </conditionalFormatting>
  <conditionalFormatting sqref="G24:AK48">
    <cfRule type="cellIs" dxfId="53" priority="20" operator="equal">
      <formula>0.583333333333333</formula>
    </cfRule>
    <cfRule type="cellIs" dxfId="52" priority="21" operator="equal">
      <formula>0.291666666666667</formula>
    </cfRule>
  </conditionalFormatting>
  <conditionalFormatting sqref="F59:F60">
    <cfRule type="cellIs" dxfId="51" priority="13" operator="equal">
      <formula>"C"</formula>
    </cfRule>
    <cfRule type="expression" dxfId="50" priority="16">
      <formula>LEFT(F59,1)="O"</formula>
    </cfRule>
    <cfRule type="expression" dxfId="49" priority="17">
      <formula>LEFT(F59,1)="A"</formula>
    </cfRule>
    <cfRule type="expression" dxfId="48" priority="18">
      <formula>LEFT(F59,1)="F"</formula>
    </cfRule>
  </conditionalFormatting>
  <conditionalFormatting sqref="F59:F60">
    <cfRule type="cellIs" dxfId="47" priority="14" operator="equal">
      <formula>0.583333333333333</formula>
    </cfRule>
    <cfRule type="cellIs" dxfId="46" priority="15" operator="equal">
      <formula>0.291666666666667</formula>
    </cfRule>
  </conditionalFormatting>
  <conditionalFormatting sqref="G24:AK36">
    <cfRule type="cellIs" dxfId="45" priority="10" operator="equal">
      <formula>"Fran"</formula>
    </cfRule>
  </conditionalFormatting>
  <conditionalFormatting sqref="F58">
    <cfRule type="cellIs" dxfId="44" priority="2" operator="equal">
      <formula>0.5</formula>
    </cfRule>
    <cfRule type="cellIs" dxfId="43" priority="3" operator="equal">
      <formula>0.375</formula>
    </cfRule>
    <cfRule type="cellIs" dxfId="42" priority="4" operator="equal">
      <formula>"C"</formula>
    </cfRule>
    <cfRule type="expression" dxfId="41" priority="7">
      <formula>LEFT(F58,1)="O"</formula>
    </cfRule>
    <cfRule type="expression" dxfId="40" priority="8">
      <formula>LEFT(F58,1)="A"</formula>
    </cfRule>
    <cfRule type="expression" dxfId="39" priority="9">
      <formula>LEFT(F58,1)="F*"</formula>
    </cfRule>
  </conditionalFormatting>
  <conditionalFormatting sqref="F58">
    <cfRule type="cellIs" dxfId="38" priority="5" operator="equal">
      <formula>0.583333333333333</formula>
    </cfRule>
    <cfRule type="cellIs" dxfId="37" priority="6" operator="equal">
      <formula>0.291666666666667</formula>
    </cfRule>
  </conditionalFormatting>
  <conditionalFormatting sqref="F58">
    <cfRule type="cellIs" dxfId="36" priority="1" operator="equal">
      <formula>"Fran"</formula>
    </cfRule>
  </conditionalFormatting>
  <dataValidations count="4">
    <dataValidation type="list" allowBlank="1" showInputMessage="1" showErrorMessage="1" sqref="V17">
      <formula1>Mois_</formula1>
    </dataValidation>
    <dataValidation type="list" allowBlank="1" showInputMessage="1" showErrorMessage="1" sqref="AD17">
      <formula1>Année_</formula1>
    </dataValidation>
    <dataValidation type="list" allowBlank="1" showInputMessage="1" showErrorMessage="1" sqref="F56 F61">
      <formula1>Settings_ShiftLegends</formula1>
    </dataValidation>
    <dataValidation type="list" allowBlank="1" showInputMessage="1" showErrorMessage="1" sqref="F53:F55">
      <formula1>Settings_Shift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3">
              <controlPr defaultSize="0" print="0" autoFill="0" autoPict="0" macro="[0]!Feuil3.ereduire_lignecolone" altText="un_zoom">
                <anchor>
                  <from>
                    <xdr:col>1</xdr:col>
                    <xdr:colOff>676275</xdr:colOff>
                    <xdr:row>0</xdr:row>
                    <xdr:rowOff>95250</xdr:rowOff>
                  </from>
                  <to>
                    <xdr:col>1</xdr:col>
                    <xdr:colOff>1543050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4">
              <controlPr defaultSize="0" print="0" autoFill="0" autoPict="0" macro="[0]!Feuil3.elargir_lignecolone" altText="zoom">
                <anchor>
                  <from>
                    <xdr:col>0</xdr:col>
                    <xdr:colOff>85725</xdr:colOff>
                    <xdr:row>0</xdr:row>
                    <xdr:rowOff>95250</xdr:rowOff>
                  </from>
                  <to>
                    <xdr:col>1</xdr:col>
                    <xdr:colOff>695325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'C:\Users\atchaneyou\Desktop\Plannings\119\[Planning_Hebdo_119.xlsx]Settings'!#REF!</xm:f>
          </x14:formula1>
          <xm:sqref>E53:E55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O70"/>
  <sheetViews>
    <sheetView showGridLines="0" showRowColHeaders="0" tabSelected="1" topLeftCell="AM31" zoomScaleNormal="100" workbookViewId="0">
      <selection activeCell="AR49" sqref="AR49"/>
    </sheetView>
  </sheetViews>
  <sheetFormatPr baseColWidth="10" defaultRowHeight="15" x14ac:dyDescent="0.25"/>
  <cols>
    <col min="1" max="1" width="3.85546875" style="320" customWidth="1"/>
    <col min="2" max="2" width="34.7109375" style="320" customWidth="1"/>
    <col min="3" max="3" width="6.140625" style="320" hidden="1" customWidth="1"/>
    <col min="4" max="4" width="5.5703125" style="320" hidden="1" customWidth="1"/>
    <col min="5" max="5" width="5.85546875" style="320" hidden="1" customWidth="1"/>
    <col min="6" max="6" width="7.28515625" style="320" hidden="1" customWidth="1"/>
    <col min="7" max="20" width="7.42578125" style="320" customWidth="1"/>
    <col min="21" max="37" width="7.42578125" style="320" hidden="1" customWidth="1"/>
    <col min="38" max="38" width="10.140625" style="320" customWidth="1"/>
    <col min="39" max="39" width="9.28515625" style="320" customWidth="1"/>
    <col min="40" max="40" width="10.28515625" style="320" customWidth="1"/>
    <col min="41" max="41" width="9.85546875" style="320" customWidth="1"/>
    <col min="42" max="16384" width="11.42578125" style="320"/>
  </cols>
  <sheetData>
    <row r="1" spans="1:37" ht="44.25" customHeight="1" x14ac:dyDescent="0.25"/>
    <row r="2" spans="1:37" hidden="1" x14ac:dyDescent="0.25"/>
    <row r="3" spans="1:37" hidden="1" x14ac:dyDescent="0.25"/>
    <row r="4" spans="1:37" hidden="1" x14ac:dyDescent="0.25"/>
    <row r="5" spans="1:37" hidden="1" x14ac:dyDescent="0.25"/>
    <row r="6" spans="1:37" hidden="1" x14ac:dyDescent="0.25"/>
    <row r="7" spans="1:37" hidden="1" x14ac:dyDescent="0.25"/>
    <row r="8" spans="1:37" hidden="1" x14ac:dyDescent="0.25"/>
    <row r="9" spans="1:37" hidden="1" x14ac:dyDescent="0.25"/>
    <row r="10" spans="1:37" hidden="1" x14ac:dyDescent="0.25"/>
    <row r="11" spans="1:37" hidden="1" x14ac:dyDescent="0.25"/>
    <row r="12" spans="1:37" ht="15.75" hidden="1" thickBot="1" x14ac:dyDescent="0.3"/>
    <row r="13" spans="1:37" ht="18" hidden="1" customHeight="1" thickBot="1" x14ac:dyDescent="0.35">
      <c r="A13" s="321" t="str">
        <f>+A20</f>
        <v>1010_PDV-VM</v>
      </c>
      <c r="B13" s="322"/>
      <c r="C13" s="322"/>
      <c r="D13" s="322"/>
      <c r="E13" s="322"/>
      <c r="F13" s="322"/>
      <c r="G13" s="323" t="str">
        <f>"Liste de Service pour le Week"&amp;" "&amp; WEEKNUM(M14)-WEEKNUM(M14)+1</f>
        <v>Liste de Service pour le Week 1</v>
      </c>
      <c r="H13" s="323"/>
      <c r="I13" s="323"/>
      <c r="J13" s="323"/>
      <c r="K13" s="324"/>
      <c r="L13" s="324"/>
      <c r="M13" s="324"/>
      <c r="N13" s="324"/>
      <c r="O13" s="324"/>
      <c r="P13" s="324"/>
      <c r="Q13" s="324"/>
      <c r="R13" s="324"/>
      <c r="S13" s="324"/>
      <c r="T13" s="325"/>
      <c r="U13" s="323" t="str">
        <f>"Liste de Service pour le Week"&amp;" "&amp; WEEKNUM(AA14)-WEEKNUM(AA14)+1</f>
        <v>Liste de Service pour le Week 1</v>
      </c>
      <c r="V13" s="323"/>
      <c r="W13" s="323"/>
      <c r="X13" s="323"/>
      <c r="Y13" s="324"/>
      <c r="Z13" s="324"/>
      <c r="AA13" s="324"/>
      <c r="AB13" s="324"/>
      <c r="AC13" s="324"/>
      <c r="AD13" s="324"/>
      <c r="AE13" s="324"/>
      <c r="AF13" s="324"/>
      <c r="AG13" s="324"/>
      <c r="AH13" s="325"/>
    </row>
    <row r="14" spans="1:37" ht="19.5" hidden="1" thickBot="1" x14ac:dyDescent="0.35">
      <c r="A14" s="326"/>
      <c r="B14" s="327"/>
      <c r="C14" s="327"/>
      <c r="D14" s="327"/>
      <c r="E14" s="327"/>
      <c r="F14" s="327"/>
      <c r="G14" s="324" t="str">
        <f>+V17</f>
        <v>Octobre</v>
      </c>
      <c r="H14" s="328"/>
      <c r="I14" s="328"/>
      <c r="J14" s="329"/>
      <c r="K14" s="330">
        <f>AD17</f>
        <v>2022</v>
      </c>
      <c r="L14" s="331"/>
      <c r="M14" s="332">
        <f>+R20</f>
        <v>44865</v>
      </c>
      <c r="N14" s="333"/>
      <c r="O14" s="333"/>
      <c r="P14" s="333"/>
      <c r="Q14" s="334" t="s">
        <v>41</v>
      </c>
      <c r="R14" s="333"/>
      <c r="S14" s="333"/>
      <c r="T14" s="335">
        <f>COUNTIF(G22:T22,"*?")</f>
        <v>14</v>
      </c>
      <c r="U14" s="324" t="str">
        <f>+G14</f>
        <v>Octobre</v>
      </c>
      <c r="V14" s="328"/>
      <c r="W14" s="328"/>
      <c r="X14" s="329"/>
      <c r="Y14" s="330">
        <f>+K14</f>
        <v>2022</v>
      </c>
      <c r="Z14" s="331"/>
      <c r="AA14" s="332">
        <f>+M14</f>
        <v>44865</v>
      </c>
      <c r="AB14" s="333"/>
      <c r="AC14" s="333"/>
      <c r="AD14" s="333"/>
      <c r="AE14" s="334" t="s">
        <v>41</v>
      </c>
      <c r="AF14" s="333"/>
      <c r="AG14" s="333"/>
      <c r="AH14" s="335">
        <f>COUNTIF(U22:AH22,"*?")</f>
        <v>14</v>
      </c>
    </row>
    <row r="15" spans="1:37" ht="16.5" hidden="1" thickBot="1" x14ac:dyDescent="0.3">
      <c r="A15" s="336"/>
      <c r="B15" s="337"/>
      <c r="C15" s="337"/>
      <c r="D15" s="337"/>
      <c r="E15" s="337"/>
      <c r="F15" s="337"/>
      <c r="G15" s="338" t="s">
        <v>42</v>
      </c>
      <c r="H15" s="338"/>
      <c r="I15" s="338"/>
      <c r="J15" s="338"/>
      <c r="K15" s="339"/>
      <c r="L15" s="340">
        <f>+L20</f>
        <v>31</v>
      </c>
      <c r="M15" s="341" t="s">
        <v>43</v>
      </c>
      <c r="N15" s="342"/>
      <c r="O15" s="343" t="s">
        <v>44</v>
      </c>
      <c r="P15" s="343"/>
      <c r="Q15" s="344"/>
      <c r="R15" s="345">
        <f>+M14+T14</f>
        <v>44879</v>
      </c>
      <c r="S15" s="346"/>
      <c r="T15" s="347"/>
      <c r="U15" s="338" t="s">
        <v>42</v>
      </c>
      <c r="V15" s="338"/>
      <c r="W15" s="338"/>
      <c r="X15" s="338"/>
      <c r="Y15" s="339"/>
      <c r="Z15" s="340">
        <f>+L15</f>
        <v>31</v>
      </c>
      <c r="AA15" s="341" t="s">
        <v>43</v>
      </c>
      <c r="AB15" s="342"/>
      <c r="AC15" s="343" t="s">
        <v>44</v>
      </c>
      <c r="AD15" s="343"/>
      <c r="AE15" s="344"/>
      <c r="AF15" s="345">
        <f>+AA14+AH14</f>
        <v>44879</v>
      </c>
      <c r="AG15" s="346"/>
      <c r="AH15" s="347"/>
    </row>
    <row r="16" spans="1:37" ht="15.75" customHeight="1" thickBot="1" x14ac:dyDescent="0.3"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</row>
    <row r="17" spans="1:41" ht="15" customHeight="1" thickTop="1" x14ac:dyDescent="0.25">
      <c r="F17" s="348"/>
      <c r="G17" s="349" t="str">
        <f>"Liste de Service pour le mois de :"&amp;""&amp; " "&amp;V17</f>
        <v>Liste de Service pour le mois de : Octobre</v>
      </c>
      <c r="H17" s="349"/>
      <c r="I17" s="349"/>
      <c r="J17" s="349"/>
      <c r="K17" s="349"/>
      <c r="L17" s="349"/>
      <c r="M17" s="349"/>
      <c r="N17" s="349"/>
      <c r="O17" s="349"/>
      <c r="P17" s="349"/>
      <c r="Q17" s="349"/>
      <c r="R17" s="349"/>
      <c r="S17" s="349"/>
      <c r="T17" s="349"/>
      <c r="U17" s="350"/>
      <c r="V17" s="351" t="s">
        <v>45</v>
      </c>
      <c r="W17" s="349"/>
      <c r="X17" s="349"/>
      <c r="Y17" s="349"/>
      <c r="Z17" s="349"/>
      <c r="AA17" s="349"/>
      <c r="AB17" s="349"/>
      <c r="AC17" s="350"/>
      <c r="AD17" s="349">
        <v>2022</v>
      </c>
      <c r="AE17" s="349"/>
      <c r="AF17" s="349"/>
      <c r="AG17" s="349"/>
      <c r="AH17" s="349"/>
      <c r="AI17" s="350"/>
      <c r="AJ17" s="352"/>
      <c r="AK17" s="348"/>
      <c r="AL17" s="352"/>
    </row>
    <row r="18" spans="1:41" ht="15" customHeight="1" thickBot="1" x14ac:dyDescent="0.3">
      <c r="F18" s="348"/>
      <c r="G18" s="353"/>
      <c r="H18" s="353"/>
      <c r="I18" s="353"/>
      <c r="J18" s="353"/>
      <c r="K18" s="353"/>
      <c r="L18" s="353"/>
      <c r="M18" s="353"/>
      <c r="N18" s="353"/>
      <c r="O18" s="353"/>
      <c r="P18" s="353"/>
      <c r="Q18" s="353"/>
      <c r="R18" s="353"/>
      <c r="S18" s="353"/>
      <c r="T18" s="353"/>
      <c r="U18" s="354"/>
      <c r="V18" s="355"/>
      <c r="W18" s="353"/>
      <c r="X18" s="353"/>
      <c r="Y18" s="353"/>
      <c r="Z18" s="353"/>
      <c r="AA18" s="353"/>
      <c r="AB18" s="353"/>
      <c r="AC18" s="354"/>
      <c r="AD18" s="353"/>
      <c r="AE18" s="353"/>
      <c r="AF18" s="353"/>
      <c r="AG18" s="353"/>
      <c r="AH18" s="353"/>
      <c r="AI18" s="354"/>
      <c r="AJ18" s="352"/>
      <c r="AK18" s="348"/>
      <c r="AL18" s="352"/>
    </row>
    <row r="19" spans="1:41" ht="15.75" customHeight="1" thickBot="1" x14ac:dyDescent="0.3">
      <c r="D19" s="352"/>
      <c r="E19" s="352"/>
      <c r="F19" s="348"/>
      <c r="G19" s="356"/>
      <c r="H19" s="357"/>
      <c r="I19" s="357"/>
      <c r="J19" s="357"/>
      <c r="K19" s="357"/>
      <c r="L19" s="357"/>
      <c r="M19" s="357"/>
      <c r="N19" s="352"/>
      <c r="O19" s="357"/>
      <c r="P19" s="357"/>
      <c r="Q19" s="357"/>
      <c r="R19" s="357"/>
      <c r="S19" s="357"/>
      <c r="T19" s="357"/>
      <c r="U19" s="357"/>
      <c r="V19" s="352"/>
      <c r="W19" s="357"/>
      <c r="X19" s="357"/>
      <c r="Y19" s="357"/>
      <c r="Z19" s="357"/>
      <c r="AA19" s="357"/>
      <c r="AB19" s="357"/>
      <c r="AC19" s="357"/>
      <c r="AD19" s="352"/>
      <c r="AE19" s="357"/>
      <c r="AF19" s="357"/>
      <c r="AG19" s="357"/>
      <c r="AH19" s="357"/>
      <c r="AI19" s="357"/>
      <c r="AJ19" s="352"/>
      <c r="AK19" s="348"/>
      <c r="AL19" s="358"/>
    </row>
    <row r="20" spans="1:41" ht="18" customHeight="1" thickTop="1" thickBot="1" x14ac:dyDescent="0.35">
      <c r="A20" s="359" t="s">
        <v>46</v>
      </c>
      <c r="B20" s="360"/>
      <c r="C20" s="360"/>
      <c r="D20" s="360"/>
      <c r="E20" s="360"/>
      <c r="F20" s="361"/>
      <c r="G20" s="362" t="s">
        <v>47</v>
      </c>
      <c r="H20" s="362"/>
      <c r="I20" s="362"/>
      <c r="J20" s="362"/>
      <c r="K20" s="362"/>
      <c r="L20" s="363">
        <v>31</v>
      </c>
      <c r="M20" s="364"/>
      <c r="N20" s="365"/>
      <c r="O20" s="366" t="s">
        <v>43</v>
      </c>
      <c r="P20" s="366"/>
      <c r="Q20" s="366"/>
      <c r="R20" s="367">
        <f>IFERROR(DATEVALUE(L20&amp;V17&amp;AD17),"")</f>
        <v>44865</v>
      </c>
      <c r="S20" s="367"/>
      <c r="T20" s="367"/>
      <c r="U20" s="368"/>
      <c r="V20" s="365"/>
      <c r="W20" s="366" t="s">
        <v>44</v>
      </c>
      <c r="X20" s="366"/>
      <c r="Y20" s="366"/>
      <c r="Z20" s="367">
        <f>IFERROR(EOMONTH(R20,0)+L20-1,"")</f>
        <v>44895</v>
      </c>
      <c r="AA20" s="367"/>
      <c r="AB20" s="367"/>
      <c r="AC20" s="368"/>
      <c r="AD20" s="365"/>
      <c r="AE20" s="369" t="s">
        <v>41</v>
      </c>
      <c r="AF20" s="369"/>
      <c r="AG20" s="369"/>
      <c r="AH20" s="370">
        <f>+COUNTIF(G22:AK22,"*?")</f>
        <v>31</v>
      </c>
      <c r="AI20" s="371"/>
      <c r="AJ20" s="372"/>
      <c r="AK20" s="373"/>
      <c r="AL20" s="374" t="s">
        <v>48</v>
      </c>
      <c r="AM20" s="374"/>
      <c r="AN20" s="374"/>
      <c r="AO20" s="375"/>
    </row>
    <row r="21" spans="1:41" ht="27" customHeight="1" thickTop="1" thickBot="1" x14ac:dyDescent="0.3">
      <c r="A21" s="376"/>
      <c r="B21" s="349"/>
      <c r="C21" s="349"/>
      <c r="D21" s="349"/>
      <c r="E21" s="349"/>
      <c r="F21" s="377"/>
      <c r="G21" s="378" t="str">
        <f>"S"&amp;_xlfn.ISOWEEKNUM(G23)</f>
        <v>S44</v>
      </c>
      <c r="H21" s="379"/>
      <c r="I21" s="379"/>
      <c r="J21" s="379"/>
      <c r="K21" s="379"/>
      <c r="L21" s="379"/>
      <c r="M21" s="380"/>
      <c r="N21" s="378" t="str">
        <f>"S"&amp;_xlfn.ISOWEEKNUM(N23)</f>
        <v>S45</v>
      </c>
      <c r="O21" s="379"/>
      <c r="P21" s="379"/>
      <c r="Q21" s="379"/>
      <c r="R21" s="379"/>
      <c r="S21" s="379"/>
      <c r="T21" s="380"/>
      <c r="U21" s="378" t="str">
        <f>"S"&amp;_xlfn.ISOWEEKNUM(U23)</f>
        <v>S46</v>
      </c>
      <c r="V21" s="379"/>
      <c r="W21" s="379"/>
      <c r="X21" s="379"/>
      <c r="Y21" s="379"/>
      <c r="Z21" s="379"/>
      <c r="AA21" s="380"/>
      <c r="AB21" s="378" t="str">
        <f>"S"&amp;_xlfn.ISOWEEKNUM(AB23)</f>
        <v>S47</v>
      </c>
      <c r="AC21" s="379"/>
      <c r="AD21" s="379"/>
      <c r="AE21" s="379"/>
      <c r="AF21" s="379"/>
      <c r="AG21" s="379"/>
      <c r="AH21" s="380"/>
      <c r="AI21" s="381" t="str">
        <f>"S"&amp;_xlfn.ISOWEEKNUM(AI23)</f>
        <v>S48</v>
      </c>
      <c r="AJ21" s="382"/>
      <c r="AK21" s="383"/>
      <c r="AL21" s="349"/>
      <c r="AM21" s="349"/>
      <c r="AN21" s="349"/>
      <c r="AO21" s="377"/>
    </row>
    <row r="22" spans="1:41" ht="34.5" customHeight="1" thickTop="1" thickBot="1" x14ac:dyDescent="0.3">
      <c r="A22" s="384"/>
      <c r="B22" s="385"/>
      <c r="C22" s="385"/>
      <c r="D22" s="385"/>
      <c r="E22" s="385"/>
      <c r="F22" s="386"/>
      <c r="G22" s="94" t="str">
        <f>TEXT(G23,"jjj")</f>
        <v>lun</v>
      </c>
      <c r="H22" s="94" t="str">
        <f>TEXT(H23,"jjj")</f>
        <v>mar</v>
      </c>
      <c r="I22" s="94" t="str">
        <f t="shared" ref="I22:AK22" si="0">TEXT(I23,"jjj")</f>
        <v>mer</v>
      </c>
      <c r="J22" s="94" t="str">
        <f t="shared" si="0"/>
        <v>jeu</v>
      </c>
      <c r="K22" s="94" t="str">
        <f t="shared" si="0"/>
        <v>ven</v>
      </c>
      <c r="L22" s="94" t="str">
        <f t="shared" si="0"/>
        <v>sam</v>
      </c>
      <c r="M22" s="95" t="str">
        <f t="shared" si="0"/>
        <v>dim</v>
      </c>
      <c r="N22" s="96" t="str">
        <f t="shared" si="0"/>
        <v>lun</v>
      </c>
      <c r="O22" s="94" t="str">
        <f t="shared" si="0"/>
        <v>mar</v>
      </c>
      <c r="P22" s="94" t="str">
        <f t="shared" si="0"/>
        <v>mer</v>
      </c>
      <c r="Q22" s="94" t="str">
        <f t="shared" si="0"/>
        <v>jeu</v>
      </c>
      <c r="R22" s="94" t="str">
        <f t="shared" si="0"/>
        <v>ven</v>
      </c>
      <c r="S22" s="94" t="str">
        <f t="shared" si="0"/>
        <v>sam</v>
      </c>
      <c r="T22" s="95" t="str">
        <f t="shared" si="0"/>
        <v>dim</v>
      </c>
      <c r="U22" s="94" t="str">
        <f t="shared" si="0"/>
        <v>lun</v>
      </c>
      <c r="V22" s="94" t="str">
        <f t="shared" si="0"/>
        <v>mar</v>
      </c>
      <c r="W22" s="94" t="str">
        <f t="shared" si="0"/>
        <v>mer</v>
      </c>
      <c r="X22" s="94" t="str">
        <f t="shared" si="0"/>
        <v>jeu</v>
      </c>
      <c r="Y22" s="94" t="str">
        <f t="shared" si="0"/>
        <v>ven</v>
      </c>
      <c r="Z22" s="94" t="str">
        <f t="shared" si="0"/>
        <v>sam</v>
      </c>
      <c r="AA22" s="95" t="str">
        <f t="shared" si="0"/>
        <v>dim</v>
      </c>
      <c r="AB22" s="94" t="str">
        <f t="shared" si="0"/>
        <v>lun</v>
      </c>
      <c r="AC22" s="94" t="str">
        <f t="shared" si="0"/>
        <v>mar</v>
      </c>
      <c r="AD22" s="94" t="str">
        <f t="shared" si="0"/>
        <v>mer</v>
      </c>
      <c r="AE22" s="94" t="str">
        <f t="shared" si="0"/>
        <v>jeu</v>
      </c>
      <c r="AF22" s="94" t="str">
        <f t="shared" si="0"/>
        <v>ven</v>
      </c>
      <c r="AG22" s="94" t="str">
        <f t="shared" si="0"/>
        <v>sam</v>
      </c>
      <c r="AH22" s="95" t="str">
        <f t="shared" si="0"/>
        <v>dim</v>
      </c>
      <c r="AI22" s="96" t="str">
        <f t="shared" si="0"/>
        <v>lun</v>
      </c>
      <c r="AJ22" s="94" t="str">
        <f t="shared" si="0"/>
        <v>mar</v>
      </c>
      <c r="AK22" s="97" t="str">
        <f t="shared" si="0"/>
        <v>mer</v>
      </c>
      <c r="AL22" s="353"/>
      <c r="AM22" s="353"/>
      <c r="AN22" s="353"/>
      <c r="AO22" s="387"/>
    </row>
    <row r="23" spans="1:41" ht="15.75" customHeight="1" thickTop="1" thickBot="1" x14ac:dyDescent="0.3">
      <c r="A23" s="388" t="s">
        <v>49</v>
      </c>
      <c r="B23" s="388" t="s">
        <v>50</v>
      </c>
      <c r="C23" s="388" t="s">
        <v>51</v>
      </c>
      <c r="D23" s="388" t="s">
        <v>52</v>
      </c>
      <c r="E23" s="388" t="s">
        <v>53</v>
      </c>
      <c r="F23" s="389" t="s">
        <v>54</v>
      </c>
      <c r="G23" s="390">
        <f>R20</f>
        <v>44865</v>
      </c>
      <c r="H23" s="390">
        <f t="shared" ref="H23:AK23" si="1">IF(G23&gt;=$Z$20,"",G23+1)</f>
        <v>44866</v>
      </c>
      <c r="I23" s="390">
        <f t="shared" si="1"/>
        <v>44867</v>
      </c>
      <c r="J23" s="390">
        <f t="shared" si="1"/>
        <v>44868</v>
      </c>
      <c r="K23" s="390">
        <f t="shared" si="1"/>
        <v>44869</v>
      </c>
      <c r="L23" s="390">
        <f t="shared" si="1"/>
        <v>44870</v>
      </c>
      <c r="M23" s="391">
        <f t="shared" si="1"/>
        <v>44871</v>
      </c>
      <c r="N23" s="390">
        <f t="shared" si="1"/>
        <v>44872</v>
      </c>
      <c r="O23" s="390">
        <f t="shared" si="1"/>
        <v>44873</v>
      </c>
      <c r="P23" s="390">
        <f t="shared" si="1"/>
        <v>44874</v>
      </c>
      <c r="Q23" s="390">
        <f t="shared" si="1"/>
        <v>44875</v>
      </c>
      <c r="R23" s="390">
        <f t="shared" si="1"/>
        <v>44876</v>
      </c>
      <c r="S23" s="390">
        <f t="shared" si="1"/>
        <v>44877</v>
      </c>
      <c r="T23" s="391">
        <f t="shared" si="1"/>
        <v>44878</v>
      </c>
      <c r="U23" s="390">
        <f t="shared" si="1"/>
        <v>44879</v>
      </c>
      <c r="V23" s="390">
        <f t="shared" si="1"/>
        <v>44880</v>
      </c>
      <c r="W23" s="390">
        <f t="shared" si="1"/>
        <v>44881</v>
      </c>
      <c r="X23" s="390">
        <f t="shared" si="1"/>
        <v>44882</v>
      </c>
      <c r="Y23" s="390">
        <f t="shared" si="1"/>
        <v>44883</v>
      </c>
      <c r="Z23" s="390">
        <f t="shared" si="1"/>
        <v>44884</v>
      </c>
      <c r="AA23" s="391">
        <f t="shared" si="1"/>
        <v>44885</v>
      </c>
      <c r="AB23" s="390">
        <f t="shared" si="1"/>
        <v>44886</v>
      </c>
      <c r="AC23" s="390">
        <f t="shared" si="1"/>
        <v>44887</v>
      </c>
      <c r="AD23" s="390">
        <f t="shared" si="1"/>
        <v>44888</v>
      </c>
      <c r="AE23" s="390">
        <f t="shared" si="1"/>
        <v>44889</v>
      </c>
      <c r="AF23" s="390">
        <f t="shared" si="1"/>
        <v>44890</v>
      </c>
      <c r="AG23" s="390">
        <f t="shared" si="1"/>
        <v>44891</v>
      </c>
      <c r="AH23" s="391">
        <f t="shared" si="1"/>
        <v>44892</v>
      </c>
      <c r="AI23" s="392">
        <f t="shared" si="1"/>
        <v>44893</v>
      </c>
      <c r="AJ23" s="390">
        <f t="shared" si="1"/>
        <v>44894</v>
      </c>
      <c r="AK23" s="393">
        <f t="shared" si="1"/>
        <v>44895</v>
      </c>
      <c r="AL23" s="394" t="s">
        <v>55</v>
      </c>
      <c r="AM23" s="395" t="s">
        <v>56</v>
      </c>
      <c r="AN23" s="395" t="s">
        <v>57</v>
      </c>
      <c r="AO23" s="396" t="s">
        <v>58</v>
      </c>
    </row>
    <row r="24" spans="1:41" s="406" customFormat="1" ht="15" customHeight="1" thickTop="1" x14ac:dyDescent="0.25">
      <c r="A24" s="397">
        <v>1</v>
      </c>
      <c r="B24" s="398" t="str">
        <f>+[5]Offday!B3</f>
        <v>ZANOU Steven Renaud</v>
      </c>
      <c r="C24" s="399">
        <f>+[5]Offday!C3</f>
        <v>0.29166666666666669</v>
      </c>
      <c r="D24" s="399">
        <f>+[5]Offday!D3</f>
        <v>0.29166666666666669</v>
      </c>
      <c r="E24" s="399">
        <f>+[5]Offday!E3</f>
        <v>0.5</v>
      </c>
      <c r="F24" s="400">
        <f>+[5]Offday!F3</f>
        <v>0.375</v>
      </c>
      <c r="G24" s="401">
        <f>IF(VLOOKUP($A24,[5]Offday!$A$2:$AK$18,MATCH(Planning!G$23,[5]Offday!$A$2:$AO$2,0))=0,$E24,VLOOKUP($A24,[5]Offday!$A$2:$AK$18,MATCH(Planning!G$23,[5]Offday!$A$2:$AO$2,0)))</f>
        <v>0.5</v>
      </c>
      <c r="H24" s="401">
        <f>IF(VLOOKUP($A24,[5]Offday!$A$2:$AK$18,MATCH(Planning!H$23,[5]Offday!$A$2:$AO$2,0))=0,$C24,VLOOKUP($A24,[5]Offday!$A$2:$AK$18,MATCH(Planning!H$23,[5]Offday!$A$2:$AO$2,0)))</f>
        <v>0.29166666666666669</v>
      </c>
      <c r="I24" s="401">
        <f>IF(VLOOKUP($A24,[5]Offday!$A$2:$AK$18,MATCH(Planning!I$23,[5]Offday!$A$2:$AO$2,0))=0,$E24,VLOOKUP($A24,[5]Offday!$A$2:$AK$18,MATCH(Planning!I$23,[5]Offday!$A$2:$AO$2,0)))</f>
        <v>0.5</v>
      </c>
      <c r="J24" s="401">
        <f>IF(VLOOKUP($A24,[5]Offday!$A$2:$AK$18,MATCH(Planning!J$23,[5]Offday!$A$2:$AO$2,0))=0,$E24,VLOOKUP($A24,[5]Offday!$A$2:$AK$18,MATCH(Planning!J$23,[5]Offday!$A$2:$AO$2,0)))</f>
        <v>0.5</v>
      </c>
      <c r="K24" s="401" t="str">
        <f>IF(VLOOKUP($A24,[5]Offday!$A$2:$AK$18,MATCH(Planning!K$23,[5]Offday!$A$2:$AO$2,0))=0,$E24,VLOOKUP($A24,[5]Offday!$A$2:$AK$18,MATCH(Planning!K$23,[5]Offday!$A$2:$AO$2,0)))</f>
        <v>O</v>
      </c>
      <c r="L24" s="401">
        <f>IF(VLOOKUP($A24,[5]Offday!$A$2:$AK$18,MATCH(Planning!L$23,[5]Offday!$A$2:$AO$2,0))=0,$F24,VLOOKUP($A24,[5]Offday!$A$2:$AK$18,MATCH(Planning!L$23,[5]Offday!$A$2:$AO$2,0)))</f>
        <v>0.375</v>
      </c>
      <c r="M24" s="402" t="str">
        <f>IF(VLOOKUP($A24,[5]Offday!$A$2:$AK$18,MATCH(Planning!M$23,[5]Offday!$A$2:$AO$2,0))=0,$C24,VLOOKUP($A24,[5]Offday!$A$2:$AK$18,MATCH(Planning!M$23,[5]Offday!$A$2:$AO$2,0)))</f>
        <v>O</v>
      </c>
      <c r="N24" s="401">
        <f>IF(VLOOKUP($A24,[5]Offday!$A$2:$AK$18,MATCH(Planning!N$23,[5]Offday!$A$2:$AO$2,0))=0,$C24,VLOOKUP($A24,[5]Offday!$A$2:$AK$18,MATCH(Planning!N$23,[5]Offday!$A$2:$AO$2,0)))</f>
        <v>0.29166666666666669</v>
      </c>
      <c r="O24" s="401">
        <f>IF(VLOOKUP($A24,[5]Offday!$A$2:$AK$18,MATCH(Planning!O$23,[5]Offday!$A$2:$AO$2,0))=0,$C24,VLOOKUP($A24,[5]Offday!$A$2:$AK$18,MATCH(Planning!O$23,[5]Offday!$A$2:$AO$2,0)))</f>
        <v>0.29166666666666669</v>
      </c>
      <c r="P24" s="401">
        <f>IF(VLOOKUP($A24,[5]Offday!$A$2:$AK$18,MATCH(Planning!P$23,[5]Offday!$A$2:$AO$2,0))=0,$C24,VLOOKUP($A24,[5]Offday!$A$2:$AK$18,MATCH(Planning!P$23,[5]Offday!$A$2:$AO$2,0)))</f>
        <v>0.29166666666666669</v>
      </c>
      <c r="Q24" s="401" t="str">
        <f>IF(VLOOKUP($A24,[5]Offday!$A$2:$AK$18,MATCH(Planning!Q$23,[5]Offday!$A$2:$AO$2,0))=0,$E24,VLOOKUP($A24,[5]Offday!$A$2:$AK$18,MATCH(Planning!Q$23,[5]Offday!$A$2:$AO$2,0)))</f>
        <v>O</v>
      </c>
      <c r="R24" s="401">
        <f>IF(VLOOKUP($A24,[5]Offday!$A$2:$AK$18,MATCH(Planning!R$23,[5]Offday!$A$2:$AO$2,0))=0,$E24,VLOOKUP($A24,[5]Offday!$A$2:$AK$18,MATCH(Planning!R$23,[5]Offday!$A$2:$AO$2,0)))</f>
        <v>0.5</v>
      </c>
      <c r="S24" s="401" t="str">
        <f>IF(VLOOKUP($A24,[5]Offday!$A$2:$AK$18,MATCH(Planning!S$23,[5]Offday!$A$2:$AO$2,0))=0,$F24,VLOOKUP($A24,[5]Offday!$A$2:$AK$18,MATCH(Planning!S$23,[5]Offday!$A$2:$AO$2,0)))</f>
        <v>O</v>
      </c>
      <c r="T24" s="402">
        <f>IF(VLOOKUP($A24,[5]Offday!$A$2:$AK$18,MATCH(Planning!T$23,[5]Offday!$A$2:$AO$2,0))=0,$E24,VLOOKUP($A24,[5]Offday!$A$2:$AK$18,MATCH(Planning!T$23,[5]Offday!$A$2:$AO$2,0)))</f>
        <v>0.5</v>
      </c>
      <c r="U24" s="401">
        <f>IF(VLOOKUP($A24,[5]Offday!$A$2:$AK$18,MATCH(Planning!U$23,[5]Offday!$A$2:$AO$2,0))=0,$C24,VLOOKUP($A24,[5]Offday!$A$2:$AK$18,MATCH(Planning!U$23,[5]Offday!$A$2:$AO$2,0)))</f>
        <v>0.29166666666666669</v>
      </c>
      <c r="V24" s="401">
        <f>IF(VLOOKUP($A24,[5]Offday!$A$2:$AK$18,MATCH(Planning!V$23,[5]Offday!$A$2:$AO$2,0))=0,$C24,VLOOKUP($A24,[5]Offday!$A$2:$AK$18,MATCH(Planning!V$23,[5]Offday!$A$2:$AO$2,0)))</f>
        <v>0.29166666666666669</v>
      </c>
      <c r="W24" s="401">
        <f>IF(VLOOKUP($A24,[5]Offday!$A$2:$AK$18,MATCH(Planning!W$23,[5]Offday!$A$2:$AO$2,0))=0,$C24,VLOOKUP($A24,[5]Offday!$A$2:$AK$18,MATCH(Planning!W$23,[5]Offday!$A$2:$AO$2,0)))</f>
        <v>0.29166666666666669</v>
      </c>
      <c r="X24" s="401">
        <f>IF(VLOOKUP($A24,[5]Offday!$A$2:$AK$18,MATCH(Planning!X$23,[5]Offday!$A$2:$AO$2,0))=0,$E24,VLOOKUP($A24,[5]Offday!$A$2:$AK$18,MATCH(Planning!X$23,[5]Offday!$A$2:$AO$2,0)))</f>
        <v>0.5</v>
      </c>
      <c r="Y24" s="401">
        <f>IF(VLOOKUP($A24,[5]Offday!$A$2:$AK$18,MATCH(Planning!Y$23,[5]Offday!$A$2:$AO$2,0))=0,$E24,VLOOKUP($A24,[5]Offday!$A$2:$AK$18,MATCH(Planning!Y$23,[5]Offday!$A$2:$AO$2,0)))</f>
        <v>0.5</v>
      </c>
      <c r="Z24" s="401">
        <f>IF(VLOOKUP($A24,[5]Offday!$A$2:$AK$18,MATCH(Planning!Z$23,[5]Offday!$A$2:$AO$2,0))=0,$F24,VLOOKUP($A24,[5]Offday!$A$2:$AK$18,MATCH(Planning!Z$23,[5]Offday!$A$2:$AO$2,0)))</f>
        <v>0.375</v>
      </c>
      <c r="AA24" s="402">
        <f>IF(VLOOKUP($A24,[5]Offday!$A$2:$AK$18,MATCH(Planning!AA$23,[5]Offday!$A$2:$AO$2,0))=0,$F24,VLOOKUP($A24,[5]Offday!$A$2:$AK$18,MATCH(Planning!AA$23,[5]Offday!$A$2:$AO$2,0)))</f>
        <v>0.375</v>
      </c>
      <c r="AB24" s="401">
        <f>IF(VLOOKUP($A24,[5]Offday!$A$2:$AK$18,MATCH(Planning!AB$23,[5]Offday!$A$2:$AO$2,0))=0,$C24,VLOOKUP($A24,[5]Offday!$A$2:$AK$18,MATCH(Planning!AB$23,[5]Offday!$A$2:$AO$2,0)))</f>
        <v>0.29166666666666669</v>
      </c>
      <c r="AC24" s="401">
        <f>IF(VLOOKUP($A24,[5]Offday!$A$2:$AK$18,MATCH(Planning!AC$23,[5]Offday!$A$2:$AO$2,0))=0,$C24,VLOOKUP($A24,[5]Offday!$A$2:$AK$18,MATCH(Planning!AC$23,[5]Offday!$A$2:$AO$2,0)))</f>
        <v>0.29166666666666669</v>
      </c>
      <c r="AD24" s="401">
        <f>IF(VLOOKUP($A24,[5]Offday!$A$2:$AK$18,MATCH(Planning!AD$23,[5]Offday!$A$2:$AO$2,0))=0,$C24,VLOOKUP($A24,[5]Offday!$A$2:$AK$18,MATCH(Planning!AD$23,[5]Offday!$A$2:$AO$2,0)))</f>
        <v>0.29166666666666669</v>
      </c>
      <c r="AE24" s="401">
        <f>IF(VLOOKUP($A24,[5]Offday!$A$2:$AK$18,MATCH(Planning!AE$23,[5]Offday!$A$2:$AO$2,0))=0,$E24,VLOOKUP($A24,[5]Offday!$A$2:$AK$18,MATCH(Planning!AE$23,[5]Offday!$A$2:$AO$2,0)))</f>
        <v>0.5</v>
      </c>
      <c r="AF24" s="401">
        <f>IF(VLOOKUP($A24,[5]Offday!$A$2:$AK$18,MATCH(Planning!AF$23,[5]Offday!$A$2:$AO$2,0))=0,$E24,VLOOKUP($A24,[5]Offday!$A$2:$AK$18,MATCH(Planning!AF$23,[5]Offday!$A$2:$AO$2,0)))</f>
        <v>0.5</v>
      </c>
      <c r="AG24" s="401">
        <f>IF(VLOOKUP($A24,[5]Offday!$A$2:$AK$18,MATCH(Planning!AG$23,[5]Offday!$A$2:$AO$2,0))=0,$F24,VLOOKUP($A24,[5]Offday!$A$2:$AK$18,MATCH(Planning!AG$23,[5]Offday!$A$2:$AO$2,0)))</f>
        <v>0.375</v>
      </c>
      <c r="AH24" s="402">
        <f>IF(VLOOKUP($A24,[5]Offday!$A$2:$AK$18,MATCH(Planning!AH$23,[5]Offday!$A$2:$AO$2,0))=0,$F24,VLOOKUP($A24,[5]Offday!$A$2:$AK$18,MATCH(Planning!AH$23,[5]Offday!$A$2:$AO$2,0)))</f>
        <v>0.375</v>
      </c>
      <c r="AI24" s="401">
        <f>IF(VLOOKUP($A24,[5]Offday!$A$2:$AK$18,MATCH(Planning!AI$23,[5]Offday!$A$2:$AO$2,0))=0,$C24,VLOOKUP($A24,[5]Offday!$A$2:$AK$18,MATCH(Planning!AI$23,[5]Offday!$A$2:$AO$2,0)))</f>
        <v>0.29166666666666669</v>
      </c>
      <c r="AJ24" s="401">
        <f>IF(VLOOKUP($A24,[5]Offday!$A$2:$AK$18,MATCH(Planning!AJ$23,[5]Offday!$A$2:$AO$2,0))=0,$C24,VLOOKUP($A24,[5]Offday!$A$2:$AK$18,MATCH(Planning!AJ$23,[5]Offday!$A$2:$AO$2,0)))</f>
        <v>0.29166666666666669</v>
      </c>
      <c r="AK24" s="401">
        <f>IF(VLOOKUP($A24,[5]Offday!$A$2:$AK$18,MATCH(Planning!AK$23,[5]Offday!$A$2:$AO$2,0))=0,$C24,VLOOKUP($A24,[5]Offday!$A$2:$AK$18,MATCH(Planning!AK$23,[5]Offday!$A$2:$AO$2,0)))</f>
        <v>0.29166666666666669</v>
      </c>
      <c r="AL24" s="403">
        <f>COUNTIF($G24:$T24,"7:00")</f>
        <v>4</v>
      </c>
      <c r="AM24" s="404">
        <f>COUNTIF($G24:$T24,"9:00")</f>
        <v>1</v>
      </c>
      <c r="AN24" s="404">
        <f>COUNTIF($G24:$T24,"12:00")</f>
        <v>5</v>
      </c>
      <c r="AO24" s="405">
        <f>COUNTIF($G24:$T24,"O*")</f>
        <v>4</v>
      </c>
    </row>
    <row r="25" spans="1:41" s="406" customFormat="1" ht="15" customHeight="1" x14ac:dyDescent="0.25">
      <c r="A25" s="407">
        <v>2</v>
      </c>
      <c r="B25" s="398" t="str">
        <f>+[5]Offday!B4</f>
        <v>YAWO Komi Etsè A</v>
      </c>
      <c r="C25" s="408">
        <f>+[5]Offday!C4</f>
        <v>0.29166666666666669</v>
      </c>
      <c r="D25" s="408">
        <f>+[5]Offday!D4</f>
        <v>0.29166666666666669</v>
      </c>
      <c r="E25" s="408">
        <f>+[5]Offday!E4</f>
        <v>0.5</v>
      </c>
      <c r="F25" s="409">
        <f>+[5]Offday!F4</f>
        <v>0.375</v>
      </c>
      <c r="G25" s="401">
        <f>IF(VLOOKUP($A25,[5]Offday!$A$2:$AK$18,MATCH(Planning!G$23,[5]Offday!$A$2:$AO$2,0))=0,$C25,VLOOKUP($A25,[5]Offday!$A$2:$AK$18,MATCH(Planning!G$23,[5]Offday!$A$2:$AO$2,0)))</f>
        <v>0.29166666666666669</v>
      </c>
      <c r="H25" s="401">
        <f>IF(VLOOKUP($A25,[5]Offday!$A$2:$AK$18,MATCH(Planning!H$23,[5]Offday!$A$2:$AO$2,0))=0,$C25,VLOOKUP($A25,[5]Offday!$A$2:$AK$18,MATCH(Planning!H$23,[5]Offday!$A$2:$AO$2,0)))</f>
        <v>0.29166666666666669</v>
      </c>
      <c r="I25" s="401">
        <f>IF(VLOOKUP($A25,[5]Offday!$A$2:$AK$18,MATCH(Planning!I$23,[5]Offday!$A$2:$AO$2,0))=0,$C25,VLOOKUP($A25,[5]Offday!$A$2:$AK$18,MATCH(Planning!I$23,[5]Offday!$A$2:$AO$2,0)))</f>
        <v>0.29166666666666669</v>
      </c>
      <c r="J25" s="401" t="str">
        <f>IF(VLOOKUP($A25,[5]Offday!$A$2:$AK$18,MATCH(Planning!J$23,[5]Offday!$A$2:$AO$2,0))=0,$E25,VLOOKUP($A25,[5]Offday!$A$2:$AK$18,MATCH(Planning!J$23,[5]Offday!$A$2:$AO$2,0)))</f>
        <v>O</v>
      </c>
      <c r="K25" s="401">
        <f>IF(VLOOKUP($A25,[5]Offday!$A$2:$AK$18,MATCH(Planning!K$23,[5]Offday!$A$2:$AO$2,0))=0,$E25,VLOOKUP($A25,[5]Offday!$A$2:$AK$18,MATCH(Planning!K$23,[5]Offday!$A$2:$AO$2,0)))</f>
        <v>0.5</v>
      </c>
      <c r="L25" s="401">
        <f>IF(VLOOKUP($A25,[5]Offday!$A$2:$AK$18,MATCH(Planning!L$23,[5]Offday!$A$2:$AO$2,0))=0,$E25,VLOOKUP($A25,[5]Offday!$A$2:$AK$18,MATCH(Planning!L$23,[5]Offday!$A$2:$AO$2,0)))</f>
        <v>0.5</v>
      </c>
      <c r="M25" s="410" t="str">
        <f>IF(VLOOKUP($A25,[5]Offday!$A$2:$AK$18,MATCH(Planning!M$23,[5]Offday!$A$2:$AO$2,0))=0,$C25,VLOOKUP($A25,[5]Offday!$A$2:$AK$18,MATCH(Planning!M$23,[5]Offday!$A$2:$AO$2,0)))</f>
        <v>O</v>
      </c>
      <c r="N25" s="401" t="str">
        <f>IF(VLOOKUP($A25,[5]Offday!$A$2:$AK$18,MATCH(Planning!N$23,[5]Offday!$A$2:$AO$2,0))=0,$C25,VLOOKUP($A25,[5]Offday!$A$2:$AK$18,MATCH(Planning!N$23,[5]Offday!$A$2:$AO$2,0)))</f>
        <v>C</v>
      </c>
      <c r="O25" s="401" t="str">
        <f>IF(VLOOKUP($A25,[5]Offday!$A$2:$AK$18,MATCH(Planning!O$23,[5]Offday!$A$2:$AO$2,0))=0,$C25,VLOOKUP($A25,[5]Offday!$A$2:$AK$18,MATCH(Planning!O$23,[5]Offday!$A$2:$AO$2,0)))</f>
        <v>C</v>
      </c>
      <c r="P25" s="401" t="str">
        <f>IF(VLOOKUP($A25,[5]Offday!$A$2:$AK$18,MATCH(Planning!P$23,[5]Offday!$A$2:$AO$2,0))=0,$F25,VLOOKUP($A25,[5]Offday!$A$2:$AK$18,MATCH(Planning!P$23,[5]Offday!$A$2:$AO$2,0)))</f>
        <v>C</v>
      </c>
      <c r="Q25" s="401" t="str">
        <f>IF(VLOOKUP($A25,[5]Offday!$A$2:$AK$18,MATCH(Planning!Q$23,[5]Offday!$A$2:$AO$2,0))=0,$E25,VLOOKUP($A25,[5]Offday!$A$2:$AK$18,MATCH(Planning!Q$23,[5]Offday!$A$2:$AO$2,0)))</f>
        <v>C</v>
      </c>
      <c r="R25" s="401" t="str">
        <f>IF(VLOOKUP($A25,[5]Offday!$A$2:$AK$18,MATCH(Planning!R$23,[5]Offday!$A$2:$AO$2,0))=0,$E25,VLOOKUP($A25,[5]Offday!$A$2:$AK$18,MATCH(Planning!R$23,[5]Offday!$A$2:$AO$2,0)))</f>
        <v>C</v>
      </c>
      <c r="S25" s="401" t="str">
        <f>IF(VLOOKUP($A25,[5]Offday!$A$2:$AK$18,MATCH(Planning!S$23,[5]Offday!$A$2:$AO$2,0))=0,$E25,VLOOKUP($A25,[5]Offday!$A$2:$AK$18,MATCH(Planning!S$23,[5]Offday!$A$2:$AO$2,0)))</f>
        <v>C</v>
      </c>
      <c r="T25" s="410" t="str">
        <f>IF(VLOOKUP($A25,[5]Offday!$A$2:$AK$18,MATCH(Planning!T$23,[5]Offday!$A$2:$AO$2,0))=0,$C25,VLOOKUP($A25,[5]Offday!$A$2:$AK$18,MATCH(Planning!T$23,[5]Offday!$A$2:$AO$2,0)))</f>
        <v>C</v>
      </c>
      <c r="U25" s="401">
        <f>IF(VLOOKUP($A25,[5]Offday!$A$2:$AK$18,MATCH(Planning!U$23,[5]Offday!$A$2:$AO$2,0))=0,$C25,VLOOKUP($A25,[5]Offday!$A$2:$AK$18,MATCH(Planning!U$23,[5]Offday!$A$2:$AO$2,0)))</f>
        <v>0.29166666666666669</v>
      </c>
      <c r="V25" s="401">
        <f>IF(VLOOKUP($A25,[5]Offday!$A$2:$AK$18,MATCH(Planning!V$23,[5]Offday!$A$2:$AO$2,0))=0,$C25,VLOOKUP($A25,[5]Offday!$A$2:$AK$18,MATCH(Planning!V$23,[5]Offday!$A$2:$AO$2,0)))</f>
        <v>0.29166666666666669</v>
      </c>
      <c r="W25" s="401">
        <f>IF(VLOOKUP($A25,[5]Offday!$A$2:$AK$18,MATCH(Planning!W$23,[5]Offday!$A$2:$AO$2,0))=0,$C25,VLOOKUP($A25,[5]Offday!$A$2:$AK$18,MATCH(Planning!W$23,[5]Offday!$A$2:$AO$2,0)))</f>
        <v>0.29166666666666669</v>
      </c>
      <c r="X25" s="401">
        <f>IF(VLOOKUP($A25,[5]Offday!$A$2:$AK$18,MATCH(Planning!X$23,[5]Offday!$A$2:$AO$2,0))=0,$E25,VLOOKUP($A25,[5]Offday!$A$2:$AK$18,MATCH(Planning!X$23,[5]Offday!$A$2:$AO$2,0)))</f>
        <v>0.5</v>
      </c>
      <c r="Y25" s="401">
        <f>IF(VLOOKUP($A25,[5]Offday!$A$2:$AK$18,MATCH(Planning!Y$23,[5]Offday!$A$2:$AO$2,0))=0,$E25,VLOOKUP($A25,[5]Offday!$A$2:$AK$18,MATCH(Planning!Y$23,[5]Offday!$A$2:$AO$2,0)))</f>
        <v>0.5</v>
      </c>
      <c r="Z25" s="401">
        <f>IF(VLOOKUP($A25,[5]Offday!$A$2:$AK$18,MATCH(Planning!Z$23,[5]Offday!$A$2:$AO$2,0))=0,$F25,VLOOKUP($A25,[5]Offday!$A$2:$AK$18,MATCH(Planning!Z$23,[5]Offday!$A$2:$AO$2,0)))</f>
        <v>0.375</v>
      </c>
      <c r="AA25" s="410">
        <f>IF(VLOOKUP($A25,[5]Offday!$A$2:$AK$18,MATCH(Planning!AA$23,[5]Offday!$A$2:$AO$2,0))=0,$F25,VLOOKUP($A25,[5]Offday!$A$2:$AK$18,MATCH(Planning!AA$23,[5]Offday!$A$2:$AO$2,0)))</f>
        <v>0.375</v>
      </c>
      <c r="AB25" s="401">
        <f>IF(VLOOKUP($A25,[5]Offday!$A$2:$AK$18,MATCH(Planning!AB$23,[5]Offday!$A$2:$AO$2,0))=0,$C25,VLOOKUP($A25,[5]Offday!$A$2:$AK$18,MATCH(Planning!AB$23,[5]Offday!$A$2:$AO$2,0)))</f>
        <v>0.29166666666666669</v>
      </c>
      <c r="AC25" s="401">
        <f>IF(VLOOKUP($A25,[5]Offday!$A$2:$AK$18,MATCH(Planning!AC$23,[5]Offday!$A$2:$AO$2,0))=0,$C25,VLOOKUP($A25,[5]Offday!$A$2:$AK$18,MATCH(Planning!AC$23,[5]Offday!$A$2:$AO$2,0)))</f>
        <v>0.29166666666666669</v>
      </c>
      <c r="AD25" s="401">
        <f>IF(VLOOKUP($A25,[5]Offday!$A$2:$AK$18,MATCH(Planning!AD$23,[5]Offday!$A$2:$AO$2,0))=0,$C25,VLOOKUP($A25,[5]Offday!$A$2:$AK$18,MATCH(Planning!AD$23,[5]Offday!$A$2:$AO$2,0)))</f>
        <v>0.29166666666666669</v>
      </c>
      <c r="AE25" s="401">
        <f>IF(VLOOKUP($A25,[5]Offday!$A$2:$AK$18,MATCH(Planning!AE$23,[5]Offday!$A$2:$AO$2,0))=0,$E25,VLOOKUP($A25,[5]Offday!$A$2:$AK$18,MATCH(Planning!AE$23,[5]Offday!$A$2:$AO$2,0)))</f>
        <v>0.5</v>
      </c>
      <c r="AF25" s="401">
        <f>IF(VLOOKUP($A25,[5]Offday!$A$2:$AK$18,MATCH(Planning!AF$23,[5]Offday!$A$2:$AO$2,0))=0,$E25,VLOOKUP($A25,[5]Offday!$A$2:$AK$18,MATCH(Planning!AF$23,[5]Offday!$A$2:$AO$2,0)))</f>
        <v>0.5</v>
      </c>
      <c r="AG25" s="401">
        <f>IF(VLOOKUP($A25,[5]Offday!$A$2:$AK$18,MATCH(Planning!AG$23,[5]Offday!$A$2:$AO$2,0))=0,$F25,VLOOKUP($A25,[5]Offday!$A$2:$AK$18,MATCH(Planning!AG$23,[5]Offday!$A$2:$AO$2,0)))</f>
        <v>0.375</v>
      </c>
      <c r="AH25" s="410">
        <f>IF(VLOOKUP($A25,[5]Offday!$A$2:$AK$18,MATCH(Planning!AH$23,[5]Offday!$A$2:$AO$2,0))=0,$F25,VLOOKUP($A25,[5]Offday!$A$2:$AK$18,MATCH(Planning!AH$23,[5]Offday!$A$2:$AO$2,0)))</f>
        <v>0.375</v>
      </c>
      <c r="AI25" s="401">
        <f>IF(VLOOKUP($A25,[5]Offday!$A$2:$AK$18,MATCH(Planning!AI$23,[5]Offday!$A$2:$AO$2,0))=0,$C25,VLOOKUP($A25,[5]Offday!$A$2:$AK$18,MATCH(Planning!AI$23,[5]Offday!$A$2:$AO$2,0)))</f>
        <v>0.29166666666666669</v>
      </c>
      <c r="AJ25" s="401">
        <f>IF(VLOOKUP($A25,[5]Offday!$A$2:$AK$18,MATCH(Planning!AJ$23,[5]Offday!$A$2:$AO$2,0))=0,$C25,VLOOKUP($A25,[5]Offday!$A$2:$AK$18,MATCH(Planning!AJ$23,[5]Offday!$A$2:$AO$2,0)))</f>
        <v>0.29166666666666669</v>
      </c>
      <c r="AK25" s="401">
        <f>IF(VLOOKUP($A25,[5]Offday!$A$2:$AK$18,MATCH(Planning!AK$23,[5]Offday!$A$2:$AO$2,0))=0,$C25,VLOOKUP($A25,[5]Offday!$A$2:$AK$18,MATCH(Planning!AK$23,[5]Offday!$A$2:$AO$2,0)))</f>
        <v>0.29166666666666669</v>
      </c>
      <c r="AL25" s="403">
        <f>COUNTIF($G25:$T25,"7:00")</f>
        <v>3</v>
      </c>
      <c r="AM25" s="404">
        <f t="shared" ref="AM25:AM38" si="2">COUNTIF($G25:$T25,"9:00")</f>
        <v>0</v>
      </c>
      <c r="AN25" s="404">
        <f t="shared" ref="AN25:AN38" si="3">COUNTIF($G25:$T25,"12:00")</f>
        <v>2</v>
      </c>
      <c r="AO25" s="405">
        <f>COUNTIF($G25:$T25,"O*")</f>
        <v>2</v>
      </c>
    </row>
    <row r="26" spans="1:41" s="406" customFormat="1" ht="15" customHeight="1" x14ac:dyDescent="0.25">
      <c r="A26" s="411">
        <v>3</v>
      </c>
      <c r="B26" s="398" t="str">
        <f>+[5]Offday!B5</f>
        <v>TIGOE Ahlonkoba Nadège</v>
      </c>
      <c r="C26" s="408">
        <f>+[5]Offday!C5</f>
        <v>0.29166666666666669</v>
      </c>
      <c r="D26" s="408">
        <f>+[5]Offday!D5</f>
        <v>0.29166666666666669</v>
      </c>
      <c r="E26" s="408">
        <f>+[5]Offday!E5</f>
        <v>0.375</v>
      </c>
      <c r="F26" s="409">
        <f>+[5]Offday!F5</f>
        <v>0.5</v>
      </c>
      <c r="G26" s="401" t="str">
        <f>IF(VLOOKUP($A26,[5]Offday!$A$2:$AK$18,MATCH(Planning!G$23,[5]Offday!$A$2:$AO$2,0))=0,$C26,VLOOKUP($A26,[5]Offday!$A$2:$AK$18,MATCH(Planning!G$23,[5]Offday!$A$2:$AO$2,0)))</f>
        <v>O</v>
      </c>
      <c r="H26" s="401">
        <f>IF(VLOOKUP($A26,[5]Offday!$A$2:$AK$18,MATCH(Planning!H$23,[5]Offday!$A$2:$AO$2,0))=0,$C26,VLOOKUP($A26,[5]Offday!$A$2:$AK$18,MATCH(Planning!H$23,[5]Offday!$A$2:$AO$2,0)))</f>
        <v>0.29166666666666669</v>
      </c>
      <c r="I26" s="401">
        <f>IF(VLOOKUP($A26,[5]Offday!$A$2:$AK$18,MATCH(Planning!I$23,[5]Offday!$A$2:$AO$2,0))=0,$C26,VLOOKUP($A26,[5]Offday!$A$2:$AK$18,MATCH(Planning!I$23,[5]Offday!$A$2:$AO$2,0)))</f>
        <v>0.29166666666666669</v>
      </c>
      <c r="J26" s="401">
        <f>IF(VLOOKUP($A26,[5]Offday!$A$2:$AK$18,MATCH(Planning!J$23,[5]Offday!$A$2:$AO$2,0))=0,$F26,VLOOKUP($A26,[5]Offday!$A$2:$AK$18,MATCH(Planning!J$23,[5]Offday!$A$2:$AO$2,0)))</f>
        <v>0.5</v>
      </c>
      <c r="K26" s="401">
        <f>IF(VLOOKUP($A26,[5]Offday!$A$2:$AK$18,MATCH(Planning!K$23,[5]Offday!$A$2:$AO$2,0))=0,$E26,VLOOKUP($A26,[5]Offday!$A$2:$AK$18,MATCH(Planning!K$23,[5]Offday!$A$2:$AO$2,0)))</f>
        <v>0.375</v>
      </c>
      <c r="L26" s="401">
        <f>IF(VLOOKUP($A26,[5]Offday!$A$2:$AK$18,MATCH(Planning!L$23,[5]Offday!$A$2:$AO$2,0))=0,$C26,VLOOKUP($A26,[5]Offday!$A$2:$AK$18,MATCH(Planning!L$23,[5]Offday!$A$2:$AO$2,0)))</f>
        <v>0.29166666666666669</v>
      </c>
      <c r="M26" s="410" t="str">
        <f>IF(VLOOKUP($A26,[5]Offday!$A$2:$AK$18,MATCH(Planning!M$23,[5]Offday!$A$2:$AO$2,0))=0,$F26,VLOOKUP($A26,[5]Offday!$A$2:$AK$18,MATCH(Planning!M$23,[5]Offday!$A$2:$AO$2,0)))</f>
        <v>O</v>
      </c>
      <c r="N26" s="401">
        <f>IF(VLOOKUP($A26,[5]Offday!$A$2:$AK$18,MATCH(Planning!N$23,[5]Offday!$A$2:$AO$2,0))=0,$C26,VLOOKUP($A26,[5]Offday!$A$2:$AK$18,MATCH(Planning!N$23,[5]Offday!$A$2:$AO$2,0)))</f>
        <v>0.29166666666666669</v>
      </c>
      <c r="O26" s="401">
        <f>IF(VLOOKUP($A26,[5]Offday!$A$2:$AK$18,MATCH(Planning!O$23,[5]Offday!$A$2:$AO$2,0))=0,$C26,VLOOKUP($A26,[5]Offday!$A$2:$AK$18,MATCH(Planning!O$23,[5]Offday!$A$2:$AO$2,0)))</f>
        <v>0.29166666666666669</v>
      </c>
      <c r="P26" s="401" t="str">
        <f>IF(VLOOKUP($A26,[5]Offday!$A$2:$AK$18,MATCH(Planning!P$23,[5]Offday!$A$2:$AO$2,0))=0,$C26,VLOOKUP($A26,[5]Offday!$A$2:$AK$18,MATCH(Planning!P$23,[5]Offday!$A$2:$AO$2,0)))</f>
        <v>O</v>
      </c>
      <c r="Q26" s="401">
        <f>IF(VLOOKUP($A26,[5]Offday!$A$2:$AK$18,MATCH(Planning!Q$23,[5]Offday!$A$2:$AO$2,0))=0,$F26,VLOOKUP($A26,[5]Offday!$A$2:$AK$18,MATCH(Planning!Q$23,[5]Offday!$A$2:$AO$2,0)))</f>
        <v>0.5</v>
      </c>
      <c r="R26" s="401">
        <f>IF(VLOOKUP($A26,[5]Offday!$A$2:$AK$18,MATCH(Planning!R$23,[5]Offday!$A$2:$AO$2,0))=0,$F26,VLOOKUP($A26,[5]Offday!$A$2:$AK$18,MATCH(Planning!R$23,[5]Offday!$A$2:$AO$2,0)))</f>
        <v>0.5</v>
      </c>
      <c r="S26" s="401" t="str">
        <f>IF(VLOOKUP($A26,[5]Offday!$A$2:$AK$18,MATCH(Planning!S$23,[5]Offday!$A$2:$AO$2,0))=0,$F26,VLOOKUP($A26,[5]Offday!$A$2:$AK$18,MATCH(Planning!S$23,[5]Offday!$A$2:$AO$2,0)))</f>
        <v>O</v>
      </c>
      <c r="T26" s="410">
        <f>IF(VLOOKUP($A26,[5]Offday!$A$2:$AK$18,MATCH(Planning!T$23,[5]Offday!$A$2:$AO$2,0))=0,$F26,VLOOKUP($A26,[5]Offday!$A$2:$AK$18,MATCH(Planning!T$23,[5]Offday!$A$2:$AO$2,0)))</f>
        <v>0.5</v>
      </c>
      <c r="U26" s="401">
        <f>IF(VLOOKUP($A26,[5]Offday!$A$2:$AK$18,MATCH(Planning!U$23,[5]Offday!$A$2:$AO$2,0))=0,$C26,VLOOKUP($A26,[5]Offday!$A$2:$AK$18,MATCH(Planning!U$23,[5]Offday!$A$2:$AO$2,0)))</f>
        <v>0.29166666666666669</v>
      </c>
      <c r="V26" s="401">
        <f>IF(VLOOKUP($A26,[5]Offday!$A$2:$AK$18,MATCH(Planning!V$23,[5]Offday!$A$2:$AO$2,0))=0,$C26,VLOOKUP($A26,[5]Offday!$A$2:$AK$18,MATCH(Planning!V$23,[5]Offday!$A$2:$AO$2,0)))</f>
        <v>0.29166666666666669</v>
      </c>
      <c r="W26" s="401">
        <f>IF(VLOOKUP($A26,[5]Offday!$A$2:$AK$18,MATCH(Planning!W$23,[5]Offday!$A$2:$AO$2,0))=0,$C26,VLOOKUP($A26,[5]Offday!$A$2:$AK$18,MATCH(Planning!W$23,[5]Offday!$A$2:$AO$2,0)))</f>
        <v>0.29166666666666669</v>
      </c>
      <c r="X26" s="401">
        <f>IF(VLOOKUP($A26,[5]Offday!$A$2:$AK$18,MATCH(Planning!X$23,[5]Offday!$A$2:$AO$2,0))=0,$E26,VLOOKUP($A26,[5]Offday!$A$2:$AK$18,MATCH(Planning!X$23,[5]Offday!$A$2:$AO$2,0)))</f>
        <v>0.375</v>
      </c>
      <c r="Y26" s="401">
        <f>IF(VLOOKUP($A26,[5]Offday!$A$2:$AK$18,MATCH(Planning!Y$23,[5]Offday!$A$2:$AO$2,0))=0,$E26,VLOOKUP($A26,[5]Offday!$A$2:$AK$18,MATCH(Planning!Y$23,[5]Offday!$A$2:$AO$2,0)))</f>
        <v>0.375</v>
      </c>
      <c r="Z26" s="401">
        <f>IF(VLOOKUP($A26,[5]Offday!$A$2:$AK$18,MATCH(Planning!Z$23,[5]Offday!$A$2:$AO$2,0))=0,$F26,VLOOKUP($A26,[5]Offday!$A$2:$AK$18,MATCH(Planning!Z$23,[5]Offday!$A$2:$AO$2,0)))</f>
        <v>0.5</v>
      </c>
      <c r="AA26" s="410">
        <f>IF(VLOOKUP($A26,[5]Offday!$A$2:$AK$18,MATCH(Planning!AA$23,[5]Offday!$A$2:$AO$2,0))=0,$F26,VLOOKUP($A26,[5]Offday!$A$2:$AK$18,MATCH(Planning!AA$23,[5]Offday!$A$2:$AO$2,0)))</f>
        <v>0.5</v>
      </c>
      <c r="AB26" s="401">
        <f>IF(VLOOKUP($A26,[5]Offday!$A$2:$AK$18,MATCH(Planning!AB$23,[5]Offday!$A$2:$AO$2,0))=0,$C26,VLOOKUP($A26,[5]Offday!$A$2:$AK$18,MATCH(Planning!AB$23,[5]Offday!$A$2:$AO$2,0)))</f>
        <v>0.29166666666666669</v>
      </c>
      <c r="AC26" s="401">
        <f>IF(VLOOKUP($A26,[5]Offday!$A$2:$AK$18,MATCH(Planning!AC$23,[5]Offday!$A$2:$AO$2,0))=0,$C26,VLOOKUP($A26,[5]Offday!$A$2:$AK$18,MATCH(Planning!AC$23,[5]Offday!$A$2:$AO$2,0)))</f>
        <v>0.29166666666666669</v>
      </c>
      <c r="AD26" s="401">
        <f>IF(VLOOKUP($A26,[5]Offday!$A$2:$AK$18,MATCH(Planning!AD$23,[5]Offday!$A$2:$AO$2,0))=0,$C26,VLOOKUP($A26,[5]Offday!$A$2:$AK$18,MATCH(Planning!AD$23,[5]Offday!$A$2:$AO$2,0)))</f>
        <v>0.29166666666666669</v>
      </c>
      <c r="AE26" s="401">
        <f>IF(VLOOKUP($A26,[5]Offday!$A$2:$AK$18,MATCH(Planning!AE$23,[5]Offday!$A$2:$AO$2,0))=0,$E26,VLOOKUP($A26,[5]Offday!$A$2:$AK$18,MATCH(Planning!AE$23,[5]Offday!$A$2:$AO$2,0)))</f>
        <v>0.375</v>
      </c>
      <c r="AF26" s="401">
        <f>IF(VLOOKUP($A26,[5]Offday!$A$2:$AK$18,MATCH(Planning!AF$23,[5]Offday!$A$2:$AO$2,0))=0,$E26,VLOOKUP($A26,[5]Offday!$A$2:$AK$18,MATCH(Planning!AF$23,[5]Offday!$A$2:$AO$2,0)))</f>
        <v>0.375</v>
      </c>
      <c r="AG26" s="401">
        <f>IF(VLOOKUP($A26,[5]Offday!$A$2:$AK$18,MATCH(Planning!AG$23,[5]Offday!$A$2:$AO$2,0))=0,$F26,VLOOKUP($A26,[5]Offday!$A$2:$AK$18,MATCH(Planning!AG$23,[5]Offday!$A$2:$AO$2,0)))</f>
        <v>0.5</v>
      </c>
      <c r="AH26" s="410">
        <f>IF(VLOOKUP($A26,[5]Offday!$A$2:$AK$18,MATCH(Planning!AH$23,[5]Offday!$A$2:$AO$2,0))=0,$F26,VLOOKUP($A26,[5]Offday!$A$2:$AK$18,MATCH(Planning!AH$23,[5]Offday!$A$2:$AO$2,0)))</f>
        <v>0.5</v>
      </c>
      <c r="AI26" s="401">
        <f>IF(VLOOKUP($A26,[5]Offday!$A$2:$AK$18,MATCH(Planning!AI$23,[5]Offday!$A$2:$AO$2,0))=0,$C26,VLOOKUP($A26,[5]Offday!$A$2:$AK$18,MATCH(Planning!AI$23,[5]Offday!$A$2:$AO$2,0)))</f>
        <v>0.29166666666666669</v>
      </c>
      <c r="AJ26" s="401">
        <f>IF(VLOOKUP($A26,[5]Offday!$A$2:$AK$18,MATCH(Planning!AJ$23,[5]Offday!$A$2:$AO$2,0))=0,$C26,VLOOKUP($A26,[5]Offday!$A$2:$AK$18,MATCH(Planning!AJ$23,[5]Offday!$A$2:$AO$2,0)))</f>
        <v>0.29166666666666669</v>
      </c>
      <c r="AK26" s="401">
        <f>IF(VLOOKUP($A26,[5]Offday!$A$2:$AK$18,MATCH(Planning!AK$23,[5]Offday!$A$2:$AO$2,0))=0,$C26,VLOOKUP($A26,[5]Offday!$A$2:$AK$18,MATCH(Planning!AK$23,[5]Offday!$A$2:$AO$2,0)))</f>
        <v>0.29166666666666669</v>
      </c>
      <c r="AL26" s="403">
        <f t="shared" ref="AL26:AL38" si="4">COUNTIF($G26:$T26,"7:00")</f>
        <v>5</v>
      </c>
      <c r="AM26" s="404">
        <f t="shared" si="2"/>
        <v>1</v>
      </c>
      <c r="AN26" s="404">
        <f t="shared" si="3"/>
        <v>4</v>
      </c>
      <c r="AO26" s="405">
        <f t="shared" ref="AO26:AO38" si="5">COUNTIF($G26:$T26,"O*")</f>
        <v>4</v>
      </c>
    </row>
    <row r="27" spans="1:41" s="406" customFormat="1" ht="15" customHeight="1" x14ac:dyDescent="0.25">
      <c r="A27" s="407">
        <v>4</v>
      </c>
      <c r="B27" s="398" t="str">
        <f>+[5]Offday!B6</f>
        <v>TETEVI Kokovi Georgette</v>
      </c>
      <c r="C27" s="408">
        <f>+[5]Offday!C6</f>
        <v>0.29166666666666669</v>
      </c>
      <c r="D27" s="408">
        <f>+[5]Offday!D6</f>
        <v>0.29166666666666669</v>
      </c>
      <c r="E27" s="408">
        <f>+[5]Offday!E6</f>
        <v>0.375</v>
      </c>
      <c r="F27" s="409">
        <f>+[5]Offday!F6</f>
        <v>0.5</v>
      </c>
      <c r="G27" s="401" t="str">
        <f>IF(VLOOKUP($A27,[5]Offday!$A$2:$AK$18,MATCH(Planning!G$23,[5]Offday!$A$2:$AO$2,0))=0,$C27,VLOOKUP($A27,[5]Offday!$A$2:$AK$18,MATCH(Planning!G$23,[5]Offday!$A$2:$AO$2,0)))</f>
        <v>C</v>
      </c>
      <c r="H27" s="401" t="str">
        <f>IF(VLOOKUP($A27,[5]Offday!$A$2:$AK$18,MATCH(Planning!H$23,[5]Offday!$A$2:$AO$2,0))=0,$C27,VLOOKUP($A27,[5]Offday!$A$2:$AK$18,MATCH(Planning!H$23,[5]Offday!$A$2:$AO$2,0)))</f>
        <v>C</v>
      </c>
      <c r="I27" s="401" t="str">
        <f>IF(VLOOKUP($A27,[5]Offday!$A$2:$AK$18,MATCH(Planning!I$23,[5]Offday!$A$2:$AO$2,0))=0,$C27,VLOOKUP($A27,[5]Offday!$A$2:$AK$18,MATCH(Planning!I$23,[5]Offday!$A$2:$AO$2,0)))</f>
        <v>C</v>
      </c>
      <c r="J27" s="401" t="str">
        <f>IF(VLOOKUP($A27,[5]Offday!$A$2:$AK$18,MATCH(Planning!J$23,[5]Offday!$A$2:$AO$2,0))=0,$E27,VLOOKUP($A27,[5]Offday!$A$2:$AK$18,MATCH(Planning!J$23,[5]Offday!$A$2:$AO$2,0)))</f>
        <v>C</v>
      </c>
      <c r="K27" s="401" t="str">
        <f>IF(VLOOKUP($A27,[5]Offday!$A$2:$AK$18,MATCH(Planning!K$23,[5]Offday!$A$2:$AO$2,0))=0,$E27,VLOOKUP($A27,[5]Offday!$A$2:$AK$18,MATCH(Planning!K$23,[5]Offday!$A$2:$AO$2,0)))</f>
        <v>C</v>
      </c>
      <c r="L27" s="401" t="str">
        <f>IF(VLOOKUP($A27,[5]Offday!$A$2:$AK$18,MATCH(Planning!L$23,[5]Offday!$A$2:$AO$2,0))=0,$F27,VLOOKUP($A27,[5]Offday!$A$2:$AK$18,MATCH(Planning!L$23,[5]Offday!$A$2:$AO$2,0)))</f>
        <v>C</v>
      </c>
      <c r="M27" s="410" t="str">
        <f>IF(VLOOKUP($A27,[5]Offday!$A$2:$AK$18,MATCH(Planning!M$23,[5]Offday!$A$2:$AO$2,0))=0,$F27,VLOOKUP($A27,[5]Offday!$A$2:$AK$18,MATCH(Planning!M$23,[5]Offday!$A$2:$AO$2,0)))</f>
        <v>C</v>
      </c>
      <c r="N27" s="401">
        <f>IF(VLOOKUP($A27,[5]Offday!$A$2:$AK$18,MATCH(Planning!N$23,[5]Offday!$A$2:$AO$2,0))=0,$F27,VLOOKUP($A27,[5]Offday!$A$2:$AK$18,MATCH(Planning!N$23,[5]Offday!$A$2:$AO$2,0)))</f>
        <v>0.5</v>
      </c>
      <c r="O27" s="401">
        <f>IF(VLOOKUP($A27,[5]Offday!$A$2:$AK$18,MATCH(Planning!O$23,[5]Offday!$A$2:$AO$2,0))=0,$C27,VLOOKUP($A27,[5]Offday!$A$2:$AK$18,MATCH(Planning!O$23,[5]Offday!$A$2:$AO$2,0)))</f>
        <v>0.29166666666666669</v>
      </c>
      <c r="P27" s="401">
        <f>IF(VLOOKUP($A27,[5]Offday!$A$2:$AK$18,MATCH(Planning!P$23,[5]Offday!$A$2:$AO$2,0))=0,$C27,VLOOKUP($A27,[5]Offday!$A$2:$AK$18,MATCH(Planning!P$23,[5]Offday!$A$2:$AO$2,0)))</f>
        <v>0.29166666666666669</v>
      </c>
      <c r="Q27" s="401">
        <f>IF(VLOOKUP($A27,[5]Offday!$A$2:$AK$18,MATCH(Planning!Q$23,[5]Offday!$A$2:$AO$2,0))=0,$F27,VLOOKUP($A27,[5]Offday!$A$2:$AK$18,MATCH(Planning!Q$23,[5]Offday!$A$2:$AO$2,0)))</f>
        <v>0.5</v>
      </c>
      <c r="R27" s="401">
        <f>IF(VLOOKUP($A27,[5]Offday!$A$2:$AK$18,MATCH(Planning!R$23,[5]Offday!$A$2:$AO$2,0))=0,$E27,VLOOKUP($A27,[5]Offday!$A$2:$AK$18,MATCH(Planning!R$23,[5]Offday!$A$2:$AO$2,0)))</f>
        <v>0.375</v>
      </c>
      <c r="S27" s="401">
        <f>IF(VLOOKUP($A27,[5]Offday!$A$2:$AK$18,MATCH(Planning!S$23,[5]Offday!$A$2:$AO$2,0))=0,$F27,VLOOKUP($A27,[5]Offday!$A$2:$AK$18,MATCH(Planning!S$23,[5]Offday!$A$2:$AO$2,0)))</f>
        <v>0.5</v>
      </c>
      <c r="T27" s="410" t="str">
        <f>IF(VLOOKUP($A27,[5]Offday!$A$2:$AK$18,MATCH(Planning!T$23,[5]Offday!$A$2:$AO$2,0))=0,$F27,VLOOKUP($A27,[5]Offday!$A$2:$AK$18,MATCH(Planning!T$23,[5]Offday!$A$2:$AO$2,0)))</f>
        <v>O</v>
      </c>
      <c r="U27" s="401">
        <f>IF(VLOOKUP($A27,[5]Offday!$A$2:$AK$18,MATCH(Planning!U$23,[5]Offday!$A$2:$AO$2,0))=0,$C27,VLOOKUP($A27,[5]Offday!$A$2:$AK$18,MATCH(Planning!U$23,[5]Offday!$A$2:$AO$2,0)))</f>
        <v>0.29166666666666669</v>
      </c>
      <c r="V27" s="401">
        <f>IF(VLOOKUP($A27,[5]Offday!$A$2:$AK$18,MATCH(Planning!V$23,[5]Offday!$A$2:$AO$2,0))=0,$C27,VLOOKUP($A27,[5]Offday!$A$2:$AK$18,MATCH(Planning!V$23,[5]Offday!$A$2:$AO$2,0)))</f>
        <v>0.29166666666666669</v>
      </c>
      <c r="W27" s="401">
        <f>IF(VLOOKUP($A27,[5]Offday!$A$2:$AK$18,MATCH(Planning!W$23,[5]Offday!$A$2:$AO$2,0))=0,$C27,VLOOKUP($A27,[5]Offday!$A$2:$AK$18,MATCH(Planning!W$23,[5]Offday!$A$2:$AO$2,0)))</f>
        <v>0.29166666666666669</v>
      </c>
      <c r="X27" s="401">
        <f>IF(VLOOKUP($A27,[5]Offday!$A$2:$AK$18,MATCH(Planning!X$23,[5]Offday!$A$2:$AO$2,0))=0,$E27,VLOOKUP($A27,[5]Offday!$A$2:$AK$18,MATCH(Planning!X$23,[5]Offday!$A$2:$AO$2,0)))</f>
        <v>0.375</v>
      </c>
      <c r="Y27" s="401">
        <f>IF(VLOOKUP($A27,[5]Offday!$A$2:$AK$18,MATCH(Planning!Y$23,[5]Offday!$A$2:$AO$2,0))=0,$E27,VLOOKUP($A27,[5]Offday!$A$2:$AK$18,MATCH(Planning!Y$23,[5]Offday!$A$2:$AO$2,0)))</f>
        <v>0.375</v>
      </c>
      <c r="Z27" s="401">
        <f>IF(VLOOKUP($A27,[5]Offday!$A$2:$AK$18,MATCH(Planning!Z$23,[5]Offday!$A$2:$AO$2,0))=0,$F27,VLOOKUP($A27,[5]Offday!$A$2:$AK$18,MATCH(Planning!Z$23,[5]Offday!$A$2:$AO$2,0)))</f>
        <v>0.5</v>
      </c>
      <c r="AA27" s="410">
        <f>IF(VLOOKUP($A27,[5]Offday!$A$2:$AK$18,MATCH(Planning!AA$23,[5]Offday!$A$2:$AO$2,0))=0,$F27,VLOOKUP($A27,[5]Offday!$A$2:$AK$18,MATCH(Planning!AA$23,[5]Offday!$A$2:$AO$2,0)))</f>
        <v>0.5</v>
      </c>
      <c r="AB27" s="401">
        <f>IF(VLOOKUP($A27,[5]Offday!$A$2:$AK$18,MATCH(Planning!AB$23,[5]Offday!$A$2:$AO$2,0))=0,$C27,VLOOKUP($A27,[5]Offday!$A$2:$AK$18,MATCH(Planning!AB$23,[5]Offday!$A$2:$AO$2,0)))</f>
        <v>0.29166666666666669</v>
      </c>
      <c r="AC27" s="401">
        <f>IF(VLOOKUP($A27,[5]Offday!$A$2:$AK$18,MATCH(Planning!AC$23,[5]Offday!$A$2:$AO$2,0))=0,$C27,VLOOKUP($A27,[5]Offday!$A$2:$AK$18,MATCH(Planning!AC$23,[5]Offday!$A$2:$AO$2,0)))</f>
        <v>0.29166666666666669</v>
      </c>
      <c r="AD27" s="401">
        <f>IF(VLOOKUP($A27,[5]Offday!$A$2:$AK$18,MATCH(Planning!AD$23,[5]Offday!$A$2:$AO$2,0))=0,$C27,VLOOKUP($A27,[5]Offday!$A$2:$AK$18,MATCH(Planning!AD$23,[5]Offday!$A$2:$AO$2,0)))</f>
        <v>0.29166666666666669</v>
      </c>
      <c r="AE27" s="401">
        <f>IF(VLOOKUP($A27,[5]Offday!$A$2:$AK$18,MATCH(Planning!AE$23,[5]Offday!$A$2:$AO$2,0))=0,$E27,VLOOKUP($A27,[5]Offday!$A$2:$AK$18,MATCH(Planning!AE$23,[5]Offday!$A$2:$AO$2,0)))</f>
        <v>0.375</v>
      </c>
      <c r="AF27" s="401">
        <f>IF(VLOOKUP($A27,[5]Offday!$A$2:$AK$18,MATCH(Planning!AF$23,[5]Offday!$A$2:$AO$2,0))=0,$E27,VLOOKUP($A27,[5]Offday!$A$2:$AK$18,MATCH(Planning!AF$23,[5]Offday!$A$2:$AO$2,0)))</f>
        <v>0.375</v>
      </c>
      <c r="AG27" s="401">
        <f>IF(VLOOKUP($A27,[5]Offday!$A$2:$AK$18,MATCH(Planning!AG$23,[5]Offday!$A$2:$AO$2,0))=0,$F27,VLOOKUP($A27,[5]Offday!$A$2:$AK$18,MATCH(Planning!AG$23,[5]Offday!$A$2:$AO$2,0)))</f>
        <v>0.5</v>
      </c>
      <c r="AH27" s="410">
        <f>IF(VLOOKUP($A27,[5]Offday!$A$2:$AK$18,MATCH(Planning!AH$23,[5]Offday!$A$2:$AO$2,0))=0,$F27,VLOOKUP($A27,[5]Offday!$A$2:$AK$18,MATCH(Planning!AH$23,[5]Offday!$A$2:$AO$2,0)))</f>
        <v>0.5</v>
      </c>
      <c r="AI27" s="401">
        <f>IF(VLOOKUP($A27,[5]Offday!$A$2:$AK$18,MATCH(Planning!AI$23,[5]Offday!$A$2:$AO$2,0))=0,$C27,VLOOKUP($A27,[5]Offday!$A$2:$AK$18,MATCH(Planning!AI$23,[5]Offday!$A$2:$AO$2,0)))</f>
        <v>0.29166666666666669</v>
      </c>
      <c r="AJ27" s="401">
        <f>IF(VLOOKUP($A27,[5]Offday!$A$2:$AK$18,MATCH(Planning!AJ$23,[5]Offday!$A$2:$AO$2,0))=0,$C27,VLOOKUP($A27,[5]Offday!$A$2:$AK$18,MATCH(Planning!AJ$23,[5]Offday!$A$2:$AO$2,0)))</f>
        <v>0.29166666666666669</v>
      </c>
      <c r="AK27" s="401">
        <f>IF(VLOOKUP($A27,[5]Offday!$A$2:$AK$18,MATCH(Planning!AK$23,[5]Offday!$A$2:$AO$2,0))=0,$C27,VLOOKUP($A27,[5]Offday!$A$2:$AK$18,MATCH(Planning!AK$23,[5]Offday!$A$2:$AO$2,0)))</f>
        <v>0.29166666666666669</v>
      </c>
      <c r="AL27" s="403">
        <f t="shared" si="4"/>
        <v>2</v>
      </c>
      <c r="AM27" s="404">
        <f t="shared" si="2"/>
        <v>1</v>
      </c>
      <c r="AN27" s="404">
        <f t="shared" si="3"/>
        <v>3</v>
      </c>
      <c r="AO27" s="405">
        <f t="shared" si="5"/>
        <v>1</v>
      </c>
    </row>
    <row r="28" spans="1:41" s="406" customFormat="1" ht="16.5" customHeight="1" x14ac:dyDescent="0.25">
      <c r="A28" s="411">
        <v>5</v>
      </c>
      <c r="B28" s="398" t="str">
        <f>+[5]Offday!B7</f>
        <v>TEBIE Pélaro</v>
      </c>
      <c r="C28" s="408">
        <f>+[5]Offday!C7</f>
        <v>0.29166666666666669</v>
      </c>
      <c r="D28" s="408">
        <f>+[5]Offday!D7</f>
        <v>0.375</v>
      </c>
      <c r="E28" s="408">
        <f>+[5]Offday!E7</f>
        <v>0.29166666666666669</v>
      </c>
      <c r="F28" s="409">
        <f>+[5]Offday!F7</f>
        <v>0.5</v>
      </c>
      <c r="G28" s="401">
        <f>IF(VLOOKUP($A28,[5]Offday!$A$2:$AK$18,MATCH(Planning!G$23,[5]Offday!$A$2:$AO$2,0))=0,$F28,VLOOKUP($A28,[5]Offday!$A$2:$AK$18,MATCH(Planning!G$23,[5]Offday!$A$2:$AO$2,0)))</f>
        <v>0.5</v>
      </c>
      <c r="H28" s="401">
        <f>IF(VLOOKUP($A28,[5]Offday!$A$2:$AK$18,MATCH(Planning!H$23,[5]Offday!$A$2:$AO$2,0))=0,$C28,VLOOKUP($A28,[5]Offday!$A$2:$AK$18,MATCH(Planning!H$23,[5]Offday!$A$2:$AO$2,0)))</f>
        <v>0.29166666666666669</v>
      </c>
      <c r="I28" s="401">
        <f>IF(VLOOKUP($A28,[5]Offday!$A$2:$AK$18,MATCH(Planning!I$23,[5]Offday!$A$2:$AO$2,0))=0,$C28,VLOOKUP($A28,[5]Offday!$A$2:$AK$18,MATCH(Planning!I$23,[5]Offday!$A$2:$AO$2,0)))</f>
        <v>0.29166666666666669</v>
      </c>
      <c r="J28" s="401" t="str">
        <f>IF(VLOOKUP($A28,[5]Offday!$A$2:$AK$18,MATCH(Planning!J$23,[5]Offday!$A$2:$AO$2,0))=0,$F28,VLOOKUP($A28,[5]Offday!$A$2:$AK$18,MATCH(Planning!J$23,[5]Offday!$A$2:$AO$2,0)))</f>
        <v>O</v>
      </c>
      <c r="K28" s="401">
        <f>IF(VLOOKUP($A28,[5]Offday!$A$2:$AK$18,MATCH(Planning!K$23,[5]Offday!$A$2:$AO$2,0))=0,$E28,VLOOKUP($A28,[5]Offday!$A$2:$AK$18,MATCH(Planning!K$23,[5]Offday!$A$2:$AO$2,0)))</f>
        <v>0.29166666666666669</v>
      </c>
      <c r="L28" s="401">
        <f>IF(VLOOKUP($A28,[5]Offday!$A$2:$AK$18,MATCH(Planning!L$23,[5]Offday!$A$2:$AO$2,0))=0,$F28,VLOOKUP($A28,[5]Offday!$A$2:$AK$18,MATCH(Planning!L$23,[5]Offday!$A$2:$AO$2,0)))</f>
        <v>0.5</v>
      </c>
      <c r="M28" s="410" t="str">
        <f>IF(VLOOKUP($A28,[5]Offday!$A$2:$AK$18,MATCH(Planning!M$23,[5]Offday!$A$2:$AO$2,0))=0,$F28,VLOOKUP($A28,[5]Offday!$A$2:$AK$18,MATCH(Planning!M$23,[5]Offday!$A$2:$AO$2,0)))</f>
        <v>O</v>
      </c>
      <c r="N28" s="401">
        <f>IF(VLOOKUP($A28,[5]Offday!$A$2:$AK$18,MATCH(Planning!N$23,[5]Offday!$A$2:$AO$2,0))=0,$F28,VLOOKUP($A28,[5]Offday!$A$2:$AK$18,MATCH(Planning!N$23,[5]Offday!$A$2:$AO$2,0)))</f>
        <v>0.5</v>
      </c>
      <c r="O28" s="401">
        <f>IF(VLOOKUP($A28,[5]Offday!$A$2:$AK$18,MATCH(Planning!O$23,[5]Offday!$A$2:$AO$2,0))=0,$F28,VLOOKUP($A28,[5]Offday!$A$2:$AK$18,MATCH(Planning!O$23,[5]Offday!$A$2:$AO$2,0)))</f>
        <v>0.5</v>
      </c>
      <c r="P28" s="401" t="str">
        <f>IF(VLOOKUP($A28,[5]Offday!$A$2:$AK$18,MATCH(Planning!P$23,[5]Offday!$A$2:$AO$2,0))=0,$D28,VLOOKUP($A28,[5]Offday!$A$2:$AK$18,MATCH(Planning!P$23,[5]Offday!$A$2:$AO$2,0)))</f>
        <v>O</v>
      </c>
      <c r="Q28" s="401">
        <f>IF(VLOOKUP($A28,[5]Offday!$A$2:$AK$18,MATCH(Planning!Q$23,[5]Offday!$A$2:$AO$2,0))=0,$D28,VLOOKUP($A28,[5]Offday!$A$2:$AK$18,MATCH(Planning!Q$23,[5]Offday!$A$2:$AO$2,0)))</f>
        <v>0.375</v>
      </c>
      <c r="R28" s="401">
        <f>IF(VLOOKUP($A28,[5]Offday!$A$2:$AK$18,MATCH(Planning!R$23,[5]Offday!$A$2:$AO$2,0))=0,$E28,VLOOKUP($A28,[5]Offday!$A$2:$AK$18,MATCH(Planning!R$23,[5]Offday!$A$2:$AO$2,0)))</f>
        <v>0.29166666666666669</v>
      </c>
      <c r="S28" s="401" t="str">
        <f>IF(VLOOKUP($A28,[5]Offday!$A$2:$AK$18,MATCH(Planning!S$23,[5]Offday!$A$2:$AO$2,0))=0,$F28,VLOOKUP($A28,[5]Offday!$A$2:$AK$18,MATCH(Planning!S$23,[5]Offday!$A$2:$AO$2,0)))</f>
        <v>O</v>
      </c>
      <c r="T28" s="410">
        <f>IF(VLOOKUP($A28,[5]Offday!$A$2:$AK$18,MATCH(Planning!T$23,[5]Offday!$A$2:$AO$2,0))=0,$F28,VLOOKUP($A28,[5]Offday!$A$2:$AK$18,MATCH(Planning!T$23,[5]Offday!$A$2:$AO$2,0)))</f>
        <v>0.5</v>
      </c>
      <c r="U28" s="401">
        <f>IF(VLOOKUP($A28,[5]Offday!$A$2:$AK$18,MATCH(Planning!U$23,[5]Offday!$A$2:$AO$2,0))=0,$C28,VLOOKUP($A28,[5]Offday!$A$2:$AK$18,MATCH(Planning!U$23,[5]Offday!$A$2:$AO$2,0)))</f>
        <v>0.29166666666666669</v>
      </c>
      <c r="V28" s="401">
        <f>IF(VLOOKUP($A28,[5]Offday!$A$2:$AK$18,MATCH(Planning!V$23,[5]Offday!$A$2:$AO$2,0))=0,$C28,VLOOKUP($A28,[5]Offday!$A$2:$AK$18,MATCH(Planning!V$23,[5]Offday!$A$2:$AO$2,0)))</f>
        <v>0.29166666666666669</v>
      </c>
      <c r="W28" s="401">
        <f>IF(VLOOKUP($A28,[5]Offday!$A$2:$AK$18,MATCH(Planning!W$23,[5]Offday!$A$2:$AO$2,0))=0,$C28,VLOOKUP($A28,[5]Offday!$A$2:$AK$18,MATCH(Planning!W$23,[5]Offday!$A$2:$AO$2,0)))</f>
        <v>0.29166666666666669</v>
      </c>
      <c r="X28" s="401">
        <f>IF(VLOOKUP($A28,[5]Offday!$A$2:$AK$18,MATCH(Planning!X$23,[5]Offday!$A$2:$AO$2,0))=0,$E28,VLOOKUP($A28,[5]Offday!$A$2:$AK$18,MATCH(Planning!X$23,[5]Offday!$A$2:$AO$2,0)))</f>
        <v>0.29166666666666669</v>
      </c>
      <c r="Y28" s="401">
        <f>IF(VLOOKUP($A28,[5]Offday!$A$2:$AK$18,MATCH(Planning!Y$23,[5]Offday!$A$2:$AO$2,0))=0,$E28,VLOOKUP($A28,[5]Offday!$A$2:$AK$18,MATCH(Planning!Y$23,[5]Offday!$A$2:$AO$2,0)))</f>
        <v>0.29166666666666669</v>
      </c>
      <c r="Z28" s="401">
        <f>IF(VLOOKUP($A28,[5]Offday!$A$2:$AK$18,MATCH(Planning!Z$23,[5]Offday!$A$2:$AO$2,0))=0,$F28,VLOOKUP($A28,[5]Offday!$A$2:$AK$18,MATCH(Planning!Z$23,[5]Offday!$A$2:$AO$2,0)))</f>
        <v>0.5</v>
      </c>
      <c r="AA28" s="410">
        <f>IF(VLOOKUP($A28,[5]Offday!$A$2:$AK$18,MATCH(Planning!AA$23,[5]Offday!$A$2:$AO$2,0))=0,$F28,VLOOKUP($A28,[5]Offday!$A$2:$AK$18,MATCH(Planning!AA$23,[5]Offday!$A$2:$AO$2,0)))</f>
        <v>0.5</v>
      </c>
      <c r="AB28" s="401">
        <f>IF(VLOOKUP($A28,[5]Offday!$A$2:$AK$18,MATCH(Planning!AB$23,[5]Offday!$A$2:$AO$2,0))=0,$C28,VLOOKUP($A28,[5]Offday!$A$2:$AK$18,MATCH(Planning!AB$23,[5]Offday!$A$2:$AO$2,0)))</f>
        <v>0.29166666666666669</v>
      </c>
      <c r="AC28" s="401">
        <f>IF(VLOOKUP($A28,[5]Offday!$A$2:$AK$18,MATCH(Planning!AC$23,[5]Offday!$A$2:$AO$2,0))=0,$C28,VLOOKUP($A28,[5]Offday!$A$2:$AK$18,MATCH(Planning!AC$23,[5]Offday!$A$2:$AO$2,0)))</f>
        <v>0.29166666666666669</v>
      </c>
      <c r="AD28" s="401">
        <f>IF(VLOOKUP($A28,[5]Offday!$A$2:$AK$18,MATCH(Planning!AD$23,[5]Offday!$A$2:$AO$2,0))=0,$C28,VLOOKUP($A28,[5]Offday!$A$2:$AK$18,MATCH(Planning!AD$23,[5]Offday!$A$2:$AO$2,0)))</f>
        <v>0.29166666666666669</v>
      </c>
      <c r="AE28" s="401">
        <f>IF(VLOOKUP($A28,[5]Offday!$A$2:$AK$18,MATCH(Planning!AE$23,[5]Offday!$A$2:$AO$2,0))=0,$E28,VLOOKUP($A28,[5]Offday!$A$2:$AK$18,MATCH(Planning!AE$23,[5]Offday!$A$2:$AO$2,0)))</f>
        <v>0.29166666666666669</v>
      </c>
      <c r="AF28" s="401">
        <f>IF(VLOOKUP($A28,[5]Offday!$A$2:$AK$18,MATCH(Planning!AF$23,[5]Offday!$A$2:$AO$2,0))=0,$E28,VLOOKUP($A28,[5]Offday!$A$2:$AK$18,MATCH(Planning!AF$23,[5]Offday!$A$2:$AO$2,0)))</f>
        <v>0.29166666666666669</v>
      </c>
      <c r="AG28" s="401">
        <f>IF(VLOOKUP($A28,[5]Offday!$A$2:$AK$18,MATCH(Planning!AG$23,[5]Offday!$A$2:$AO$2,0))=0,$F28,VLOOKUP($A28,[5]Offday!$A$2:$AK$18,MATCH(Planning!AG$23,[5]Offday!$A$2:$AO$2,0)))</f>
        <v>0.5</v>
      </c>
      <c r="AH28" s="410">
        <f>IF(VLOOKUP($A28,[5]Offday!$A$2:$AK$18,MATCH(Planning!AH$23,[5]Offday!$A$2:$AO$2,0))=0,$F28,VLOOKUP($A28,[5]Offday!$A$2:$AK$18,MATCH(Planning!AH$23,[5]Offday!$A$2:$AO$2,0)))</f>
        <v>0.5</v>
      </c>
      <c r="AI28" s="401">
        <f>IF(VLOOKUP($A28,[5]Offday!$A$2:$AK$18,MATCH(Planning!AI$23,[5]Offday!$A$2:$AO$2,0))=0,$C28,VLOOKUP($A28,[5]Offday!$A$2:$AK$18,MATCH(Planning!AI$23,[5]Offday!$A$2:$AO$2,0)))</f>
        <v>0.29166666666666669</v>
      </c>
      <c r="AJ28" s="401">
        <f>IF(VLOOKUP($A28,[5]Offday!$A$2:$AK$18,MATCH(Planning!AJ$23,[5]Offday!$A$2:$AO$2,0))=0,$C28,VLOOKUP($A28,[5]Offday!$A$2:$AK$18,MATCH(Planning!AJ$23,[5]Offday!$A$2:$AO$2,0)))</f>
        <v>0.29166666666666669</v>
      </c>
      <c r="AK28" s="401">
        <f>IF(VLOOKUP($A28,[5]Offday!$A$2:$AK$18,MATCH(Planning!AK$23,[5]Offday!$A$2:$AO$2,0))=0,$C28,VLOOKUP($A28,[5]Offday!$A$2:$AK$18,MATCH(Planning!AK$23,[5]Offday!$A$2:$AO$2,0)))</f>
        <v>0.29166666666666669</v>
      </c>
      <c r="AL28" s="403">
        <f t="shared" si="4"/>
        <v>4</v>
      </c>
      <c r="AM28" s="404">
        <f t="shared" si="2"/>
        <v>1</v>
      </c>
      <c r="AN28" s="404">
        <f t="shared" si="3"/>
        <v>5</v>
      </c>
      <c r="AO28" s="405">
        <f t="shared" si="5"/>
        <v>4</v>
      </c>
    </row>
    <row r="29" spans="1:41" ht="15.75" customHeight="1" x14ac:dyDescent="0.25">
      <c r="A29" s="407">
        <v>6</v>
      </c>
      <c r="B29" s="398" t="str">
        <f>+[5]Offday!B8</f>
        <v>TCHIKIRI SAMTOU SEBASTIEN</v>
      </c>
      <c r="C29" s="408">
        <f>+[5]Offday!C8</f>
        <v>0.29166666666666669</v>
      </c>
      <c r="D29" s="408">
        <f>+[5]Offday!D8</f>
        <v>0.375</v>
      </c>
      <c r="E29" s="408">
        <f>+[5]Offday!E8</f>
        <v>0.29166666666666669</v>
      </c>
      <c r="F29" s="409">
        <f>+[5]Offday!F8</f>
        <v>0.5</v>
      </c>
      <c r="G29" s="401">
        <f>IF(VLOOKUP($A29,[5]Offday!$A$2:$AK$18,MATCH(Planning!G$23,[5]Offday!$A$2:$AO$2,0))=0,$F29,VLOOKUP($A29,[5]Offday!$A$2:$AK$18,MATCH(Planning!G$23,[5]Offday!$A$2:$AO$2,0)))</f>
        <v>0.5</v>
      </c>
      <c r="H29" s="401" t="str">
        <f>IF(VLOOKUP($A29,[5]Offday!$A$2:$AK$18,MATCH(Planning!H$23,[5]Offday!$A$2:$AO$2,0))=0,$C29,VLOOKUP($A29,[5]Offday!$A$2:$AK$18,MATCH(Planning!H$23,[5]Offday!$A$2:$AO$2,0)))</f>
        <v>O</v>
      </c>
      <c r="I29" s="401">
        <f>IF(VLOOKUP($A29,[5]Offday!$A$2:$AK$18,MATCH(Planning!I$23,[5]Offday!$A$2:$AO$2,0))=0,$C29,VLOOKUP($A29,[5]Offday!$A$2:$AK$18,MATCH(Planning!I$23,[5]Offday!$A$2:$AO$2,0)))</f>
        <v>0.29166666666666669</v>
      </c>
      <c r="J29" s="401">
        <f>IF(VLOOKUP($A29,[5]Offday!$A$2:$AK$18,MATCH(Planning!J$23,[5]Offday!$A$2:$AO$2,0))=0,$E29,VLOOKUP($A29,[5]Offday!$A$2:$AK$18,MATCH(Planning!J$23,[5]Offday!$A$2:$AO$2,0)))</f>
        <v>0.29166666666666669</v>
      </c>
      <c r="K29" s="401">
        <f>IF(VLOOKUP($A29,[5]Offday!$A$2:$AK$18,MATCH(Planning!K$23,[5]Offday!$A$2:$AO$2,0))=0,$D29,VLOOKUP($A29,[5]Offday!$A$2:$AK$18,MATCH(Planning!K$23,[5]Offday!$A$2:$AO$2,0)))</f>
        <v>0.375</v>
      </c>
      <c r="L29" s="401" t="str">
        <f>IF(VLOOKUP($A29,[5]Offday!$A$2:$AK$18,MATCH(Planning!L$23,[5]Offday!$A$2:$AO$2,0))=0,$F29,VLOOKUP($A29,[5]Offday!$A$2:$AK$18,MATCH(Planning!L$23,[5]Offday!$A$2:$AO$2,0)))</f>
        <v>O</v>
      </c>
      <c r="M29" s="410">
        <f>IF(VLOOKUP($A29,[5]Offday!$A$2:$AK$18,MATCH(Planning!M$23,[5]Offday!$A$2:$AO$2,0))=0,$F29,VLOOKUP($A29,[5]Offday!$A$2:$AK$18,MATCH(Planning!M$23,[5]Offday!$A$2:$AO$2,0)))</f>
        <v>0.5</v>
      </c>
      <c r="N29" s="401">
        <f>IF(VLOOKUP($A29,[5]Offday!$A$2:$AK$18,MATCH(Planning!N$23,[5]Offday!$A$2:$AO$2,0))=0,$C29,VLOOKUP($A29,[5]Offday!$A$2:$AK$18,MATCH(Planning!N$23,[5]Offday!$A$2:$AO$2,0)))</f>
        <v>0.29166666666666669</v>
      </c>
      <c r="O29" s="401">
        <f>IF(VLOOKUP($A29,[5]Offday!$A$2:$AK$18,MATCH(Planning!O$23,[5]Offday!$A$2:$AO$2,0))=0,$C29,VLOOKUP($A29,[5]Offday!$A$2:$AK$18,MATCH(Planning!O$23,[5]Offday!$A$2:$AO$2,0)))</f>
        <v>0.29166666666666669</v>
      </c>
      <c r="P29" s="401" t="str">
        <f>IF(VLOOKUP($A29,[5]Offday!$A$2:$AK$18,MATCH(Planning!P$23,[5]Offday!$A$2:$AO$2,0))=0,$F29,VLOOKUP($A29,[5]Offday!$A$2:$AK$18,MATCH(Planning!P$23,[5]Offday!$A$2:$AO$2,0)))</f>
        <v>O</v>
      </c>
      <c r="Q29" s="401">
        <f>IF(VLOOKUP($A29,[5]Offday!$A$2:$AK$18,MATCH(Planning!Q$23,[5]Offday!$A$2:$AO$2,0))=0,$C29,VLOOKUP($A29,[5]Offday!$A$2:$AK$18,MATCH(Planning!Q$23,[5]Offday!$A$2:$AO$2,0)))</f>
        <v>0.29166666666666669</v>
      </c>
      <c r="R29" s="401">
        <f>IF(VLOOKUP($A29,[5]Offday!$A$2:$AK$18,MATCH(Planning!R$23,[5]Offday!$A$2:$AO$2,0))=0,$E29,VLOOKUP($A29,[5]Offday!$A$2:$AK$18,MATCH(Planning!R$23,[5]Offday!$A$2:$AO$2,0)))</f>
        <v>0.29166666666666669</v>
      </c>
      <c r="S29" s="401">
        <f>IF(VLOOKUP($A29,[5]Offday!$A$2:$AK$18,MATCH(Planning!S$23,[5]Offday!$A$2:$AO$2,0))=0,$F29,VLOOKUP($A29,[5]Offday!$A$2:$AK$18,MATCH(Planning!S$23,[5]Offday!$A$2:$AO$2,0)))</f>
        <v>0.5</v>
      </c>
      <c r="T29" s="410" t="str">
        <f>IF(VLOOKUP($A29,[5]Offday!$A$2:$AK$18,MATCH(Planning!T$23,[5]Offday!$A$2:$AO$2,0))=0,$F29,VLOOKUP($A29,[5]Offday!$A$2:$AK$18,MATCH(Planning!T$23,[5]Offday!$A$2:$AO$2,0)))</f>
        <v>O</v>
      </c>
      <c r="U29" s="401">
        <f>IF(VLOOKUP($A29,[5]Offday!$A$2:$AK$18,MATCH(Planning!U$23,[5]Offday!$A$2:$AO$2,0))=0,$C29,VLOOKUP($A29,[5]Offday!$A$2:$AK$18,MATCH(Planning!U$23,[5]Offday!$A$2:$AO$2,0)))</f>
        <v>0.29166666666666669</v>
      </c>
      <c r="V29" s="401">
        <f>IF(VLOOKUP($A29,[5]Offday!$A$2:$AK$18,MATCH(Planning!V$23,[5]Offday!$A$2:$AO$2,0))=0,$C29,VLOOKUP($A29,[5]Offday!$A$2:$AK$18,MATCH(Planning!V$23,[5]Offday!$A$2:$AO$2,0)))</f>
        <v>0.29166666666666669</v>
      </c>
      <c r="W29" s="401">
        <f>IF(VLOOKUP($A29,[5]Offday!$A$2:$AK$18,MATCH(Planning!W$23,[5]Offday!$A$2:$AO$2,0))=0,$C29,VLOOKUP($A29,[5]Offday!$A$2:$AK$18,MATCH(Planning!W$23,[5]Offday!$A$2:$AO$2,0)))</f>
        <v>0.29166666666666669</v>
      </c>
      <c r="X29" s="401">
        <f>IF(VLOOKUP($A29,[5]Offday!$A$2:$AK$18,MATCH(Planning!X$23,[5]Offday!$A$2:$AO$2,0))=0,$E29,VLOOKUP($A29,[5]Offday!$A$2:$AK$18,MATCH(Planning!X$23,[5]Offday!$A$2:$AO$2,0)))</f>
        <v>0.29166666666666669</v>
      </c>
      <c r="Y29" s="401">
        <f>IF(VLOOKUP($A29,[5]Offday!$A$2:$AK$18,MATCH(Planning!Y$23,[5]Offday!$A$2:$AO$2,0))=0,$E29,VLOOKUP($A29,[5]Offday!$A$2:$AK$18,MATCH(Planning!Y$23,[5]Offday!$A$2:$AO$2,0)))</f>
        <v>0.29166666666666669</v>
      </c>
      <c r="Z29" s="401">
        <f>IF(VLOOKUP($A29,[5]Offday!$A$2:$AK$18,MATCH(Planning!Z$23,[5]Offday!$A$2:$AO$2,0))=0,$F29,VLOOKUP($A29,[5]Offday!$A$2:$AK$18,MATCH(Planning!Z$23,[5]Offday!$A$2:$AO$2,0)))</f>
        <v>0.5</v>
      </c>
      <c r="AA29" s="410">
        <f>IF(VLOOKUP($A29,[5]Offday!$A$2:$AK$18,MATCH(Planning!AA$23,[5]Offday!$A$2:$AO$2,0))=0,$F29,VLOOKUP($A29,[5]Offday!$A$2:$AK$18,MATCH(Planning!AA$23,[5]Offday!$A$2:$AO$2,0)))</f>
        <v>0.5</v>
      </c>
      <c r="AB29" s="401">
        <f>IF(VLOOKUP($A29,[5]Offday!$A$2:$AK$18,MATCH(Planning!AB$23,[5]Offday!$A$2:$AO$2,0))=0,$C29,VLOOKUP($A29,[5]Offday!$A$2:$AK$18,MATCH(Planning!AB$23,[5]Offday!$A$2:$AO$2,0)))</f>
        <v>0.29166666666666669</v>
      </c>
      <c r="AC29" s="401">
        <f>IF(VLOOKUP($A29,[5]Offday!$A$2:$AK$18,MATCH(Planning!AC$23,[5]Offday!$A$2:$AO$2,0))=0,$C29,VLOOKUP($A29,[5]Offday!$A$2:$AK$18,MATCH(Planning!AC$23,[5]Offday!$A$2:$AO$2,0)))</f>
        <v>0.29166666666666669</v>
      </c>
      <c r="AD29" s="401">
        <f>IF(VLOOKUP($A29,[5]Offday!$A$2:$AK$18,MATCH(Planning!AD$23,[5]Offday!$A$2:$AO$2,0))=0,$C29,VLOOKUP($A29,[5]Offday!$A$2:$AK$18,MATCH(Planning!AD$23,[5]Offday!$A$2:$AO$2,0)))</f>
        <v>0.29166666666666669</v>
      </c>
      <c r="AE29" s="401">
        <f>IF(VLOOKUP($A29,[5]Offday!$A$2:$AK$18,MATCH(Planning!AE$23,[5]Offday!$A$2:$AO$2,0))=0,$E29,VLOOKUP($A29,[5]Offday!$A$2:$AK$18,MATCH(Planning!AE$23,[5]Offday!$A$2:$AO$2,0)))</f>
        <v>0.29166666666666669</v>
      </c>
      <c r="AF29" s="401">
        <f>IF(VLOOKUP($A29,[5]Offday!$A$2:$AK$18,MATCH(Planning!AF$23,[5]Offday!$A$2:$AO$2,0))=0,$E29,VLOOKUP($A29,[5]Offday!$A$2:$AK$18,MATCH(Planning!AF$23,[5]Offday!$A$2:$AO$2,0)))</f>
        <v>0.29166666666666669</v>
      </c>
      <c r="AG29" s="401">
        <f>IF(VLOOKUP($A29,[5]Offday!$A$2:$AK$18,MATCH(Planning!AG$23,[5]Offday!$A$2:$AO$2,0))=0,$F29,VLOOKUP($A29,[5]Offday!$A$2:$AK$18,MATCH(Planning!AG$23,[5]Offday!$A$2:$AO$2,0)))</f>
        <v>0.5</v>
      </c>
      <c r="AH29" s="410">
        <f>IF(VLOOKUP($A29,[5]Offday!$A$2:$AK$18,MATCH(Planning!AH$23,[5]Offday!$A$2:$AO$2,0))=0,$F29,VLOOKUP($A29,[5]Offday!$A$2:$AK$18,MATCH(Planning!AH$23,[5]Offday!$A$2:$AO$2,0)))</f>
        <v>0.5</v>
      </c>
      <c r="AI29" s="401">
        <f>IF(VLOOKUP($A29,[5]Offday!$A$2:$AK$18,MATCH(Planning!AI$23,[5]Offday!$A$2:$AO$2,0))=0,$C29,VLOOKUP($A29,[5]Offday!$A$2:$AK$18,MATCH(Planning!AI$23,[5]Offday!$A$2:$AO$2,0)))</f>
        <v>0.29166666666666669</v>
      </c>
      <c r="AJ29" s="401">
        <f>IF(VLOOKUP($A29,[5]Offday!$A$2:$AK$18,MATCH(Planning!AJ$23,[5]Offday!$A$2:$AO$2,0))=0,$C29,VLOOKUP($A29,[5]Offday!$A$2:$AK$18,MATCH(Planning!AJ$23,[5]Offday!$A$2:$AO$2,0)))</f>
        <v>0.29166666666666669</v>
      </c>
      <c r="AK29" s="401">
        <f>IF(VLOOKUP($A29,[5]Offday!$A$2:$AK$18,MATCH(Planning!AK$23,[5]Offday!$A$2:$AO$2,0))=0,$C29,VLOOKUP($A29,[5]Offday!$A$2:$AK$18,MATCH(Planning!AK$23,[5]Offday!$A$2:$AO$2,0)))</f>
        <v>0.29166666666666669</v>
      </c>
      <c r="AL29" s="403">
        <f t="shared" si="4"/>
        <v>6</v>
      </c>
      <c r="AM29" s="404">
        <f t="shared" si="2"/>
        <v>1</v>
      </c>
      <c r="AN29" s="404">
        <f t="shared" si="3"/>
        <v>3</v>
      </c>
      <c r="AO29" s="405">
        <f t="shared" si="5"/>
        <v>4</v>
      </c>
    </row>
    <row r="30" spans="1:41" x14ac:dyDescent="0.25">
      <c r="A30" s="411">
        <v>7</v>
      </c>
      <c r="B30" s="398" t="str">
        <f>+[5]Offday!B9</f>
        <v>NYASSOGBO Stéphane Hénoc</v>
      </c>
      <c r="C30" s="408">
        <f>+[5]Offday!C9</f>
        <v>0.29166666666666669</v>
      </c>
      <c r="D30" s="408">
        <f>+[5]Offday!D9</f>
        <v>0.5</v>
      </c>
      <c r="E30" s="408">
        <f>+[5]Offday!E9</f>
        <v>0.29166666666666669</v>
      </c>
      <c r="F30" s="409">
        <f>+[5]Offday!F9</f>
        <v>0.375</v>
      </c>
      <c r="G30" s="401" t="str">
        <f>IF(VLOOKUP($A30,[5]Offday!$A$2:$AK$18,MATCH(Planning!G$23,[5]Offday!$A$2:$AO$2,0))=0,$D30,VLOOKUP($A30,[5]Offday!$A$2:$AK$18,MATCH(Planning!G$23,[5]Offday!$A$2:$AO$2,0)))</f>
        <v>O</v>
      </c>
      <c r="H30" s="401">
        <f>IF(VLOOKUP($A30,[5]Offday!$A$2:$AK$18,MATCH(Planning!H$23,[5]Offday!$A$2:$AO$2,0))=0,$F30,VLOOKUP($A30,[5]Offday!$A$2:$AK$18,MATCH(Planning!H$23,[5]Offday!$A$2:$AO$2,0)))</f>
        <v>0.375</v>
      </c>
      <c r="I30" s="401">
        <f>IF(VLOOKUP($A30,[5]Offday!$A$2:$AK$18,MATCH(Planning!I$23,[5]Offday!$A$2:$AO$2,0))=0,$D30,VLOOKUP($A30,[5]Offday!$A$2:$AK$18,MATCH(Planning!I$23,[5]Offday!$A$2:$AO$2,0)))</f>
        <v>0.5</v>
      </c>
      <c r="J30" s="401">
        <f>IF(VLOOKUP($A30,[5]Offday!$A$2:$AK$18,MATCH(Planning!J$23,[5]Offday!$A$2:$AO$2,0))=0,$D30,VLOOKUP($A30,[5]Offday!$A$2:$AK$18,MATCH(Planning!J$23,[5]Offday!$A$2:$AO$2,0)))</f>
        <v>0.5</v>
      </c>
      <c r="K30" s="401">
        <f>IF(VLOOKUP($A30,[5]Offday!$A$2:$AK$18,MATCH(Planning!K$23,[5]Offday!$A$2:$AO$2,0))=0,$E30,VLOOKUP($A30,[5]Offday!$A$2:$AK$18,MATCH(Planning!K$23,[5]Offday!$A$2:$AO$2,0)))</f>
        <v>0.29166666666666669</v>
      </c>
      <c r="L30" s="401">
        <f>IF(VLOOKUP($A30,[5]Offday!$A$2:$AK$18,MATCH(Planning!L$23,[5]Offday!$A$2:$AO$2,0))=0,$D30,VLOOKUP($A30,[5]Offday!$A$2:$AK$18,MATCH(Planning!L$23,[5]Offday!$A$2:$AO$2,0)))</f>
        <v>0.5</v>
      </c>
      <c r="M30" s="410" t="str">
        <f>IF(VLOOKUP($A30,[5]Offday!$A$2:$AK$18,MATCH(Planning!M$23,[5]Offday!$A$2:$AO$2,0))=0,$F30,VLOOKUP($A30,[5]Offday!$A$2:$AK$18,MATCH(Planning!M$23,[5]Offday!$A$2:$AO$2,0)))</f>
        <v>O</v>
      </c>
      <c r="N30" s="401">
        <f>IF(VLOOKUP($A30,[5]Offday!$A$2:$AK$18,MATCH(Planning!N$23,[5]Offday!$A$2:$AO$2,0))=0,$C30,VLOOKUP($A30,[5]Offday!$A$2:$AK$18,MATCH(Planning!N$23,[5]Offday!$A$2:$AO$2,0)))</f>
        <v>0.29166666666666669</v>
      </c>
      <c r="O30" s="401">
        <f>IF(VLOOKUP($A30,[5]Offday!$A$2:$AK$18,MATCH(Planning!O$23,[5]Offday!$A$2:$AO$2,0))=0,$C30,VLOOKUP($A30,[5]Offday!$A$2:$AK$18,MATCH(Planning!O$23,[5]Offday!$A$2:$AO$2,0)))</f>
        <v>0.29166666666666669</v>
      </c>
      <c r="P30" s="401">
        <f>IF(VLOOKUP($A30,[5]Offday!$A$2:$AK$18,MATCH(Planning!P$23,[5]Offday!$A$2:$AO$2,0))=0,$D30,VLOOKUP($A30,[5]Offday!$A$2:$AK$18,MATCH(Planning!P$23,[5]Offday!$A$2:$AO$2,0)))</f>
        <v>0.5</v>
      </c>
      <c r="Q30" s="401">
        <f>IF(VLOOKUP($A30,[5]Offday!$A$2:$AK$18,MATCH(Planning!Q$23,[5]Offday!$A$2:$AO$2,0))=0,$E30,VLOOKUP($A30,[5]Offday!$A$2:$AK$18,MATCH(Planning!Q$23,[5]Offday!$A$2:$AO$2,0)))</f>
        <v>0.29166666666666669</v>
      </c>
      <c r="R30" s="401" t="str">
        <f>IF(VLOOKUP($A30,[5]Offday!$A$2:$AK$18,MATCH(Planning!R$23,[5]Offday!$A$2:$AO$2,0))=0,$D30,VLOOKUP($A30,[5]Offday!$A$2:$AK$18,MATCH(Planning!R$23,[5]Offday!$A$2:$AO$2,0)))</f>
        <v>O</v>
      </c>
      <c r="S30" s="401" t="str">
        <f>IF(VLOOKUP($A30,[5]Offday!$A$2:$AK$18,MATCH(Planning!S$23,[5]Offday!$A$2:$AO$2,0))=0,$F30,VLOOKUP($A30,[5]Offday!$A$2:$AK$18,MATCH(Planning!S$23,[5]Offday!$A$2:$AO$2,0)))</f>
        <v>O</v>
      </c>
      <c r="T30" s="410">
        <f>IF(VLOOKUP($A30,[5]Offday!$A$2:$AK$18,MATCH(Planning!T$23,[5]Offday!$A$2:$AO$2,0))=0,$E30,VLOOKUP($A30,[5]Offday!$A$2:$AK$18,MATCH(Planning!T$23,[5]Offday!$A$2:$AO$2,0)))</f>
        <v>0.29166666666666669</v>
      </c>
      <c r="U30" s="401">
        <f>IF(VLOOKUP($A30,[5]Offday!$A$2:$AK$18,MATCH(Planning!U$23,[5]Offday!$A$2:$AO$2,0))=0,$C30,VLOOKUP($A30,[5]Offday!$A$2:$AK$18,MATCH(Planning!U$23,[5]Offday!$A$2:$AO$2,0)))</f>
        <v>0.29166666666666669</v>
      </c>
      <c r="V30" s="401">
        <f>IF(VLOOKUP($A30,[5]Offday!$A$2:$AK$18,MATCH(Planning!V$23,[5]Offday!$A$2:$AO$2,0))=0,$C30,VLOOKUP($A30,[5]Offday!$A$2:$AK$18,MATCH(Planning!V$23,[5]Offday!$A$2:$AO$2,0)))</f>
        <v>0.29166666666666669</v>
      </c>
      <c r="W30" s="401">
        <f>IF(VLOOKUP($A30,[5]Offday!$A$2:$AK$18,MATCH(Planning!W$23,[5]Offday!$A$2:$AO$2,0))=0,$C30,VLOOKUP($A30,[5]Offday!$A$2:$AK$18,MATCH(Planning!W$23,[5]Offday!$A$2:$AO$2,0)))</f>
        <v>0.29166666666666669</v>
      </c>
      <c r="X30" s="401">
        <f>IF(VLOOKUP($A30,[5]Offday!$A$2:$AK$18,MATCH(Planning!X$23,[5]Offday!$A$2:$AO$2,0))=0,$E30,VLOOKUP($A30,[5]Offday!$A$2:$AK$18,MATCH(Planning!X$23,[5]Offday!$A$2:$AO$2,0)))</f>
        <v>0.29166666666666669</v>
      </c>
      <c r="Y30" s="401">
        <f>IF(VLOOKUP($A30,[5]Offday!$A$2:$AK$18,MATCH(Planning!Y$23,[5]Offday!$A$2:$AO$2,0))=0,$E30,VLOOKUP($A30,[5]Offday!$A$2:$AK$18,MATCH(Planning!Y$23,[5]Offday!$A$2:$AO$2,0)))</f>
        <v>0.29166666666666669</v>
      </c>
      <c r="Z30" s="401">
        <f>IF(VLOOKUP($A30,[5]Offday!$A$2:$AK$18,MATCH(Planning!Z$23,[5]Offday!$A$2:$AO$2,0))=0,$F30,VLOOKUP($A30,[5]Offday!$A$2:$AK$18,MATCH(Planning!Z$23,[5]Offday!$A$2:$AO$2,0)))</f>
        <v>0.375</v>
      </c>
      <c r="AA30" s="410">
        <f>IF(VLOOKUP($A30,[5]Offday!$A$2:$AK$18,MATCH(Planning!AA$23,[5]Offday!$A$2:$AO$2,0))=0,$F30,VLOOKUP($A30,[5]Offday!$A$2:$AK$18,MATCH(Planning!AA$23,[5]Offday!$A$2:$AO$2,0)))</f>
        <v>0.375</v>
      </c>
      <c r="AB30" s="401">
        <f>IF(VLOOKUP($A30,[5]Offday!$A$2:$AK$18,MATCH(Planning!AB$23,[5]Offday!$A$2:$AO$2,0))=0,$C30,VLOOKUP($A30,[5]Offday!$A$2:$AK$18,MATCH(Planning!AB$23,[5]Offday!$A$2:$AO$2,0)))</f>
        <v>0.29166666666666669</v>
      </c>
      <c r="AC30" s="401">
        <f>IF(VLOOKUP($A30,[5]Offday!$A$2:$AK$18,MATCH(Planning!AC$23,[5]Offday!$A$2:$AO$2,0))=0,$C30,VLOOKUP($A30,[5]Offday!$A$2:$AK$18,MATCH(Planning!AC$23,[5]Offday!$A$2:$AO$2,0)))</f>
        <v>0.29166666666666669</v>
      </c>
      <c r="AD30" s="401">
        <f>IF(VLOOKUP($A30,[5]Offday!$A$2:$AK$18,MATCH(Planning!AD$23,[5]Offday!$A$2:$AO$2,0))=0,$C30,VLOOKUP($A30,[5]Offday!$A$2:$AK$18,MATCH(Planning!AD$23,[5]Offday!$A$2:$AO$2,0)))</f>
        <v>0.29166666666666669</v>
      </c>
      <c r="AE30" s="401">
        <f>IF(VLOOKUP($A30,[5]Offday!$A$2:$AK$18,MATCH(Planning!AE$23,[5]Offday!$A$2:$AO$2,0))=0,$E30,VLOOKUP($A30,[5]Offday!$A$2:$AK$18,MATCH(Planning!AE$23,[5]Offday!$A$2:$AO$2,0)))</f>
        <v>0.29166666666666669</v>
      </c>
      <c r="AF30" s="401">
        <f>IF(VLOOKUP($A30,[5]Offday!$A$2:$AK$18,MATCH(Planning!AF$23,[5]Offday!$A$2:$AO$2,0))=0,$E30,VLOOKUP($A30,[5]Offday!$A$2:$AK$18,MATCH(Planning!AF$23,[5]Offday!$A$2:$AO$2,0)))</f>
        <v>0.29166666666666669</v>
      </c>
      <c r="AG30" s="401">
        <f>IF(VLOOKUP($A30,[5]Offday!$A$2:$AK$18,MATCH(Planning!AG$23,[5]Offday!$A$2:$AO$2,0))=0,$F30,VLOOKUP($A30,[5]Offday!$A$2:$AK$18,MATCH(Planning!AG$23,[5]Offday!$A$2:$AO$2,0)))</f>
        <v>0.375</v>
      </c>
      <c r="AH30" s="410">
        <f>IF(VLOOKUP($A30,[5]Offday!$A$2:$AK$18,MATCH(Planning!AH$23,[5]Offday!$A$2:$AO$2,0))=0,$F30,VLOOKUP($A30,[5]Offday!$A$2:$AK$18,MATCH(Planning!AH$23,[5]Offday!$A$2:$AO$2,0)))</f>
        <v>0.375</v>
      </c>
      <c r="AI30" s="401">
        <f>IF(VLOOKUP($A30,[5]Offday!$A$2:$AK$18,MATCH(Planning!AI$23,[5]Offday!$A$2:$AO$2,0))=0,$C30,VLOOKUP($A30,[5]Offday!$A$2:$AK$18,MATCH(Planning!AI$23,[5]Offday!$A$2:$AO$2,0)))</f>
        <v>0.29166666666666669</v>
      </c>
      <c r="AJ30" s="401">
        <f>IF(VLOOKUP($A30,[5]Offday!$A$2:$AK$18,MATCH(Planning!AJ$23,[5]Offday!$A$2:$AO$2,0))=0,$C30,VLOOKUP($A30,[5]Offday!$A$2:$AK$18,MATCH(Planning!AJ$23,[5]Offday!$A$2:$AO$2,0)))</f>
        <v>0.29166666666666669</v>
      </c>
      <c r="AK30" s="401">
        <f>IF(VLOOKUP($A30,[5]Offday!$A$2:$AK$18,MATCH(Planning!AK$23,[5]Offday!$A$2:$AO$2,0))=0,$C30,VLOOKUP($A30,[5]Offday!$A$2:$AK$18,MATCH(Planning!AK$23,[5]Offday!$A$2:$AO$2,0)))</f>
        <v>0.29166666666666669</v>
      </c>
      <c r="AL30" s="403">
        <f t="shared" si="4"/>
        <v>5</v>
      </c>
      <c r="AM30" s="404">
        <f t="shared" si="2"/>
        <v>1</v>
      </c>
      <c r="AN30" s="404">
        <f t="shared" si="3"/>
        <v>4</v>
      </c>
      <c r="AO30" s="405">
        <f t="shared" si="5"/>
        <v>4</v>
      </c>
    </row>
    <row r="31" spans="1:41" x14ac:dyDescent="0.25">
      <c r="A31" s="407">
        <v>8</v>
      </c>
      <c r="B31" s="398" t="str">
        <f>+[5]Offday!B10</f>
        <v>BOKODJIN Koami Richard</v>
      </c>
      <c r="C31" s="408">
        <f>+[5]Offday!C10</f>
        <v>0.29166666666666669</v>
      </c>
      <c r="D31" s="408">
        <f>+[5]Offday!D10</f>
        <v>0.5</v>
      </c>
      <c r="E31" s="408">
        <f>+[5]Offday!E10</f>
        <v>0.375</v>
      </c>
      <c r="F31" s="409">
        <f>+[5]Offday!F10</f>
        <v>0.5</v>
      </c>
      <c r="G31" s="401">
        <f>IF(VLOOKUP($A31,[5]Offday!$A$2:$AK$18,MATCH(Planning!G$23,[5]Offday!$A$2:$AO$2,0))=0,$C31,VLOOKUP($A31,[5]Offday!$A$2:$AK$18,MATCH(Planning!G$23,[5]Offday!$A$2:$AO$2,0)))</f>
        <v>0.29166666666666669</v>
      </c>
      <c r="H31" s="401" t="str">
        <f>IF(VLOOKUP($A31,[5]Offday!$A$2:$AK$18,MATCH(Planning!H$23,[5]Offday!$A$2:$AO$2,0))=0,$D31,VLOOKUP($A31,[5]Offday!$A$2:$AK$18,MATCH(Planning!H$23,[5]Offday!$A$2:$AO$2,0)))</f>
        <v>O</v>
      </c>
      <c r="I31" s="401">
        <f>IF(VLOOKUP($A31,[5]Offday!$A$2:$AK$18,MATCH(Planning!I$23,[5]Offday!$A$2:$AO$2,0))=0,$C31,VLOOKUP($A31,[5]Offday!$A$2:$AK$18,MATCH(Planning!I$23,[5]Offday!$A$2:$AO$2,0)))</f>
        <v>0.29166666666666669</v>
      </c>
      <c r="J31" s="401">
        <f>IF(VLOOKUP($A31,[5]Offday!$A$2:$AK$18,MATCH(Planning!J$23,[5]Offday!$A$2:$AO$2,0))=0,$E31,VLOOKUP($A31,[5]Offday!$A$2:$AK$18,MATCH(Planning!J$23,[5]Offday!$A$2:$AO$2,0)))</f>
        <v>0.375</v>
      </c>
      <c r="K31" s="401">
        <f>IF(VLOOKUP($A31,[5]Offday!$A$2:$AK$18,MATCH(Planning!K$23,[5]Offday!$A$2:$AO$2,0))=0,$D31,VLOOKUP($A31,[5]Offday!$A$2:$AK$18,MATCH(Planning!K$23,[5]Offday!$A$2:$AO$2,0)))</f>
        <v>0.5</v>
      </c>
      <c r="L31" s="401" t="str">
        <f>IF(VLOOKUP($A31,[5]Offday!$A$2:$AK$18,MATCH(Planning!L$23,[5]Offday!$A$2:$AO$2,0))=0,$F31,VLOOKUP($A31,[5]Offday!$A$2:$AK$18,MATCH(Planning!L$23,[5]Offday!$A$2:$AO$2,0)))</f>
        <v>O</v>
      </c>
      <c r="M31" s="410">
        <f>IF(VLOOKUP($A31,[5]Offday!$A$2:$AK$18,MATCH(Planning!M$23,[5]Offday!$A$2:$AO$2,0))=0,$F31,VLOOKUP($A31,[5]Offday!$A$2:$AK$18,MATCH(Planning!M$23,[5]Offday!$A$2:$AO$2,0)))</f>
        <v>0.5</v>
      </c>
      <c r="N31" s="401" t="str">
        <f>IF(VLOOKUP($A31,[5]Offday!$A$2:$AK$18,MATCH(Planning!N$23,[5]Offday!$A$2:$AO$2,0))=0,$C31,VLOOKUP($A31,[5]Offday!$A$2:$AK$18,MATCH(Planning!N$23,[5]Offday!$A$2:$AO$2,0)))</f>
        <v>O</v>
      </c>
      <c r="O31" s="401">
        <f>IF(VLOOKUP($A31,[5]Offday!$A$2:$AK$18,MATCH(Planning!O$23,[5]Offday!$A$2:$AO$2,0))=0,$D31,VLOOKUP($A31,[5]Offday!$A$2:$AK$18,MATCH(Planning!O$23,[5]Offday!$A$2:$AO$2,0)))</f>
        <v>0.5</v>
      </c>
      <c r="P31" s="401">
        <f>IF(VLOOKUP($A31,[5]Offday!$A$2:$AK$18,MATCH(Planning!P$23,[5]Offday!$A$2:$AO$2,0))=0,$C31,VLOOKUP($A31,[5]Offday!$A$2:$AK$18,MATCH(Planning!P$23,[5]Offday!$A$2:$AO$2,0)))</f>
        <v>0.29166666666666669</v>
      </c>
      <c r="Q31" s="401">
        <f>IF(VLOOKUP($A31,[5]Offday!$A$2:$AK$18,MATCH(Planning!Q$23,[5]Offday!$A$2:$AO$2,0))=0,$C31,VLOOKUP($A31,[5]Offday!$A$2:$AK$18,MATCH(Planning!Q$23,[5]Offday!$A$2:$AO$2,0)))</f>
        <v>0.29166666666666669</v>
      </c>
      <c r="R31" s="401">
        <f>IF(VLOOKUP($A31,[5]Offday!$A$2:$AK$18,MATCH(Planning!R$23,[5]Offday!$A$2:$AO$2,0))=0,$D31,VLOOKUP($A31,[5]Offday!$A$2:$AK$18,MATCH(Planning!R$23,[5]Offday!$A$2:$AO$2,0)))</f>
        <v>0.5</v>
      </c>
      <c r="S31" s="401">
        <f>IF(VLOOKUP($A31,[5]Offday!$A$2:$AK$18,MATCH(Planning!S$23,[5]Offday!$A$2:$AO$2,0))=0,$F31,VLOOKUP($A31,[5]Offday!$A$2:$AK$18,MATCH(Planning!S$23,[5]Offday!$A$2:$AO$2,0)))</f>
        <v>0.5</v>
      </c>
      <c r="T31" s="410" t="str">
        <f>IF(VLOOKUP($A31,[5]Offday!$A$2:$AK$18,MATCH(Planning!T$23,[5]Offday!$A$2:$AO$2,0))=0,$F31,VLOOKUP($A31,[5]Offday!$A$2:$AK$18,MATCH(Planning!T$23,[5]Offday!$A$2:$AO$2,0)))</f>
        <v>O</v>
      </c>
      <c r="U31" s="401">
        <f>IF(VLOOKUP($A31,[5]Offday!$A$2:$AK$18,MATCH(Planning!U$23,[5]Offday!$A$2:$AO$2,0))=0,$C31,VLOOKUP($A31,[5]Offday!$A$2:$AK$18,MATCH(Planning!U$23,[5]Offday!$A$2:$AO$2,0)))</f>
        <v>0.29166666666666669</v>
      </c>
      <c r="V31" s="401">
        <f>IF(VLOOKUP($A31,[5]Offday!$A$2:$AK$18,MATCH(Planning!V$23,[5]Offday!$A$2:$AO$2,0))=0,$C31,VLOOKUP($A31,[5]Offday!$A$2:$AK$18,MATCH(Planning!V$23,[5]Offday!$A$2:$AO$2,0)))</f>
        <v>0.29166666666666669</v>
      </c>
      <c r="W31" s="401">
        <f>IF(VLOOKUP($A31,[5]Offday!$A$2:$AK$18,MATCH(Planning!W$23,[5]Offday!$A$2:$AO$2,0))=0,$C31,VLOOKUP($A31,[5]Offday!$A$2:$AK$18,MATCH(Planning!W$23,[5]Offday!$A$2:$AO$2,0)))</f>
        <v>0.29166666666666669</v>
      </c>
      <c r="X31" s="401">
        <f>IF(VLOOKUP($A31,[5]Offday!$A$2:$AK$18,MATCH(Planning!X$23,[5]Offday!$A$2:$AO$2,0))=0,$E31,VLOOKUP($A31,[5]Offday!$A$2:$AK$18,MATCH(Planning!X$23,[5]Offday!$A$2:$AO$2,0)))</f>
        <v>0.375</v>
      </c>
      <c r="Y31" s="401">
        <f>IF(VLOOKUP($A31,[5]Offday!$A$2:$AK$18,MATCH(Planning!Y$23,[5]Offday!$A$2:$AO$2,0))=0,$E31,VLOOKUP($A31,[5]Offday!$A$2:$AK$18,MATCH(Planning!Y$23,[5]Offday!$A$2:$AO$2,0)))</f>
        <v>0.375</v>
      </c>
      <c r="Z31" s="401">
        <f>IF(VLOOKUP($A31,[5]Offday!$A$2:$AK$18,MATCH(Planning!Z$23,[5]Offday!$A$2:$AO$2,0))=0,$F31,VLOOKUP($A31,[5]Offday!$A$2:$AK$18,MATCH(Planning!Z$23,[5]Offday!$A$2:$AO$2,0)))</f>
        <v>0.5</v>
      </c>
      <c r="AA31" s="410">
        <f>IF(VLOOKUP($A31,[5]Offday!$A$2:$AK$18,MATCH(Planning!AA$23,[5]Offday!$A$2:$AO$2,0))=0,$F31,VLOOKUP($A31,[5]Offday!$A$2:$AK$18,MATCH(Planning!AA$23,[5]Offday!$A$2:$AO$2,0)))</f>
        <v>0.5</v>
      </c>
      <c r="AB31" s="401">
        <f>IF(VLOOKUP($A31,[5]Offday!$A$2:$AK$18,MATCH(Planning!AB$23,[5]Offday!$A$2:$AO$2,0))=0,$C31,VLOOKUP($A31,[5]Offday!$A$2:$AK$18,MATCH(Planning!AB$23,[5]Offday!$A$2:$AO$2,0)))</f>
        <v>0.29166666666666669</v>
      </c>
      <c r="AC31" s="401">
        <f>IF(VLOOKUP($A31,[5]Offday!$A$2:$AK$18,MATCH(Planning!AC$23,[5]Offday!$A$2:$AO$2,0))=0,$C31,VLOOKUP($A31,[5]Offday!$A$2:$AK$18,MATCH(Planning!AC$23,[5]Offday!$A$2:$AO$2,0)))</f>
        <v>0.29166666666666669</v>
      </c>
      <c r="AD31" s="401">
        <f>IF(VLOOKUP($A31,[5]Offday!$A$2:$AK$18,MATCH(Planning!AD$23,[5]Offday!$A$2:$AO$2,0))=0,$C31,VLOOKUP($A31,[5]Offday!$A$2:$AK$18,MATCH(Planning!AD$23,[5]Offday!$A$2:$AO$2,0)))</f>
        <v>0.29166666666666669</v>
      </c>
      <c r="AE31" s="401">
        <f>IF(VLOOKUP($A31,[5]Offday!$A$2:$AK$18,MATCH(Planning!AE$23,[5]Offday!$A$2:$AO$2,0))=0,$E31,VLOOKUP($A31,[5]Offday!$A$2:$AK$18,MATCH(Planning!AE$23,[5]Offday!$A$2:$AO$2,0)))</f>
        <v>0.375</v>
      </c>
      <c r="AF31" s="401">
        <f>IF(VLOOKUP($A31,[5]Offday!$A$2:$AK$18,MATCH(Planning!AF$23,[5]Offday!$A$2:$AO$2,0))=0,$E31,VLOOKUP($A31,[5]Offday!$A$2:$AK$18,MATCH(Planning!AF$23,[5]Offday!$A$2:$AO$2,0)))</f>
        <v>0.375</v>
      </c>
      <c r="AG31" s="401">
        <f>IF(VLOOKUP($A31,[5]Offday!$A$2:$AK$18,MATCH(Planning!AG$23,[5]Offday!$A$2:$AO$2,0))=0,$F31,VLOOKUP($A31,[5]Offday!$A$2:$AK$18,MATCH(Planning!AG$23,[5]Offday!$A$2:$AO$2,0)))</f>
        <v>0.5</v>
      </c>
      <c r="AH31" s="410">
        <f>IF(VLOOKUP($A31,[5]Offday!$A$2:$AK$18,MATCH(Planning!AH$23,[5]Offday!$A$2:$AO$2,0))=0,$F31,VLOOKUP($A31,[5]Offday!$A$2:$AK$18,MATCH(Planning!AH$23,[5]Offday!$A$2:$AO$2,0)))</f>
        <v>0.5</v>
      </c>
      <c r="AI31" s="401">
        <f>IF(VLOOKUP($A31,[5]Offday!$A$2:$AK$18,MATCH(Planning!AI$23,[5]Offday!$A$2:$AO$2,0))=0,$C31,VLOOKUP($A31,[5]Offday!$A$2:$AK$18,MATCH(Planning!AI$23,[5]Offday!$A$2:$AO$2,0)))</f>
        <v>0.29166666666666669</v>
      </c>
      <c r="AJ31" s="401">
        <f>IF(VLOOKUP($A31,[5]Offday!$A$2:$AK$18,MATCH(Planning!AJ$23,[5]Offday!$A$2:$AO$2,0))=0,$C31,VLOOKUP($A31,[5]Offday!$A$2:$AK$18,MATCH(Planning!AJ$23,[5]Offday!$A$2:$AO$2,0)))</f>
        <v>0.29166666666666669</v>
      </c>
      <c r="AK31" s="401">
        <f>IF(VLOOKUP($A31,[5]Offday!$A$2:$AK$18,MATCH(Planning!AK$23,[5]Offday!$A$2:$AO$2,0))=0,$C31,VLOOKUP($A31,[5]Offday!$A$2:$AK$18,MATCH(Planning!AK$23,[5]Offday!$A$2:$AO$2,0)))</f>
        <v>0.29166666666666669</v>
      </c>
      <c r="AL31" s="403">
        <f t="shared" si="4"/>
        <v>4</v>
      </c>
      <c r="AM31" s="404">
        <f t="shared" si="2"/>
        <v>1</v>
      </c>
      <c r="AN31" s="404">
        <f t="shared" si="3"/>
        <v>5</v>
      </c>
      <c r="AO31" s="405">
        <f t="shared" si="5"/>
        <v>4</v>
      </c>
    </row>
    <row r="32" spans="1:41" x14ac:dyDescent="0.25">
      <c r="A32" s="411">
        <v>9</v>
      </c>
      <c r="B32" s="398" t="str">
        <f>+[5]Offday!B11</f>
        <v>BAWA Zaïdatou</v>
      </c>
      <c r="C32" s="408">
        <f>+[5]Offday!C11</f>
        <v>0.375</v>
      </c>
      <c r="D32" s="408">
        <f>+[5]Offday!D11</f>
        <v>0.5</v>
      </c>
      <c r="E32" s="408">
        <f>+[5]Offday!E11</f>
        <v>0.29166666666666669</v>
      </c>
      <c r="F32" s="409">
        <f>+[5]Offday!F11</f>
        <v>0.29166666666666669</v>
      </c>
      <c r="G32" s="401">
        <f>IF(VLOOKUP($A32,[5]Offday!$A$2:$AK$18,MATCH(Planning!G$23,[5]Offday!$A$2:$AO$2,0))=0,$C32,VLOOKUP($A32,[5]Offday!$A$2:$AK$18,MATCH(Planning!G$23,[5]Offday!$A$2:$AO$2,0)))</f>
        <v>0.375</v>
      </c>
      <c r="H32" s="401">
        <f>IF(VLOOKUP($A32,[5]Offday!$A$2:$AK$18,MATCH(Planning!H$23,[5]Offday!$A$2:$AO$2,0))=0,$D32,VLOOKUP($A32,[5]Offday!$A$2:$AK$18,MATCH(Planning!H$23,[5]Offday!$A$2:$AO$2,0)))</f>
        <v>0.5</v>
      </c>
      <c r="I32" s="401" t="str">
        <f>IF(VLOOKUP($A32,[5]Offday!$A$2:$AK$18,MATCH(Planning!I$23,[5]Offday!$A$2:$AO$2,0))=0,$D32,VLOOKUP($A32,[5]Offday!$A$2:$AK$18,MATCH(Planning!I$23,[5]Offday!$A$2:$AO$2,0)))</f>
        <v>O</v>
      </c>
      <c r="J32" s="401">
        <f>IF(VLOOKUP($A32,[5]Offday!$A$2:$AK$18,MATCH(Planning!J$23,[5]Offday!$A$2:$AO$2,0))=0,$E32,VLOOKUP($A32,[5]Offday!$A$2:$AK$18,MATCH(Planning!J$23,[5]Offday!$A$2:$AO$2,0)))</f>
        <v>0.29166666666666669</v>
      </c>
      <c r="K32" s="401">
        <f>IF(VLOOKUP($A32,[5]Offday!$A$2:$AK$18,MATCH(Planning!K$23,[5]Offday!$A$2:$AO$2,0))=0,$D32,VLOOKUP($A32,[5]Offday!$A$2:$AK$18,MATCH(Planning!K$23,[5]Offday!$A$2:$AO$2,0)))</f>
        <v>0.5</v>
      </c>
      <c r="L32" s="401">
        <f>IF(VLOOKUP($A32,[5]Offday!$A$2:$AK$18,MATCH(Planning!L$23,[5]Offday!$A$2:$AO$2,0))=0,$F32,VLOOKUP($A32,[5]Offday!$A$2:$AK$18,MATCH(Planning!L$23,[5]Offday!$A$2:$AO$2,0)))</f>
        <v>0.29166666666666669</v>
      </c>
      <c r="M32" s="410" t="str">
        <f>IF(VLOOKUP($A32,[5]Offday!$A$2:$AK$18,MATCH(Planning!M$23,[5]Offday!$A$2:$AO$2,0))=0,$F32,VLOOKUP($A32,[5]Offday!$A$2:$AK$18,MATCH(Planning!M$23,[5]Offday!$A$2:$AO$2,0)))</f>
        <v>O</v>
      </c>
      <c r="N32" s="401">
        <f>IF(VLOOKUP($A32,[5]Offday!$A$2:$AK$18,MATCH(Planning!N$23,[5]Offday!$A$2:$AO$2,0))=0,$C32,VLOOKUP($A32,[5]Offday!$A$2:$AK$18,MATCH(Planning!N$23,[5]Offday!$A$2:$AO$2,0)))</f>
        <v>0.375</v>
      </c>
      <c r="O32" s="401" t="str">
        <f>IF(VLOOKUP($A32,[5]Offday!$A$2:$AK$18,MATCH(Planning!O$23,[5]Offday!$A$2:$AO$2,0))=0,$D32,VLOOKUP($A32,[5]Offday!$A$2:$AK$18,MATCH(Planning!O$23,[5]Offday!$A$2:$AO$2,0)))</f>
        <v>O</v>
      </c>
      <c r="P32" s="401">
        <f>IF(VLOOKUP($A32,[5]Offday!$A$2:$AK$18,MATCH(Planning!P$23,[5]Offday!$A$2:$AO$2,0))=0,$E32,VLOOKUP($A32,[5]Offday!$A$2:$AK$18,MATCH(Planning!P$23,[5]Offday!$A$2:$AO$2,0)))</f>
        <v>0.29166666666666669</v>
      </c>
      <c r="Q32" s="401" t="str">
        <f>IF(VLOOKUP($A32,[5]Offday!$A$2:$AK$18,MATCH(Planning!Q$23,[5]Offday!$A$2:$AO$2,0))=0,$E32,VLOOKUP($A32,[5]Offday!$A$2:$AK$18,MATCH(Planning!Q$23,[5]Offday!$A$2:$AO$2,0)))</f>
        <v>O</v>
      </c>
      <c r="R32" s="401">
        <f>IF(VLOOKUP($A32,[5]Offday!$A$2:$AK$18,MATCH(Planning!R$23,[5]Offday!$A$2:$AO$2,0))=0,$E32,VLOOKUP($A32,[5]Offday!$A$2:$AK$18,MATCH(Planning!R$23,[5]Offday!$A$2:$AO$2,0)))</f>
        <v>0.29166666666666669</v>
      </c>
      <c r="S32" s="401">
        <f>IF(VLOOKUP($A32,[5]Offday!$A$2:$AK$18,MATCH(Planning!S$23,[5]Offday!$A$2:$AO$2,0))=0,$F32,VLOOKUP($A32,[5]Offday!$A$2:$AK$18,MATCH(Planning!S$23,[5]Offday!$A$2:$AO$2,0)))</f>
        <v>0.29166666666666669</v>
      </c>
      <c r="T32" s="410">
        <f>IF(VLOOKUP($A32,[5]Offday!$A$2:$AK$18,MATCH(Planning!T$23,[5]Offday!$A$2:$AO$2,0))=0,$F32,VLOOKUP($A32,[5]Offday!$A$2:$AK$18,MATCH(Planning!T$23,[5]Offday!$A$2:$AO$2,0)))</f>
        <v>0.29166666666666669</v>
      </c>
      <c r="U32" s="401">
        <f>IF(VLOOKUP($A32,[5]Offday!$A$2:$AK$18,MATCH(Planning!U$23,[5]Offday!$A$2:$AO$2,0))=0,$C32,VLOOKUP($A32,[5]Offday!$A$2:$AK$18,MATCH(Planning!U$23,[5]Offday!$A$2:$AO$2,0)))</f>
        <v>0.375</v>
      </c>
      <c r="V32" s="401">
        <f>IF(VLOOKUP($A32,[5]Offday!$A$2:$AK$18,MATCH(Planning!V$23,[5]Offday!$A$2:$AO$2,0))=0,$C32,VLOOKUP($A32,[5]Offday!$A$2:$AK$18,MATCH(Planning!V$23,[5]Offday!$A$2:$AO$2,0)))</f>
        <v>0.375</v>
      </c>
      <c r="W32" s="401">
        <f>IF(VLOOKUP($A32,[5]Offday!$A$2:$AK$18,MATCH(Planning!W$23,[5]Offday!$A$2:$AO$2,0))=0,$C32,VLOOKUP($A32,[5]Offday!$A$2:$AK$18,MATCH(Planning!W$23,[5]Offday!$A$2:$AO$2,0)))</f>
        <v>0.375</v>
      </c>
      <c r="X32" s="401">
        <f>IF(VLOOKUP($A32,[5]Offday!$A$2:$AK$18,MATCH(Planning!X$23,[5]Offday!$A$2:$AO$2,0))=0,$E32,VLOOKUP($A32,[5]Offday!$A$2:$AK$18,MATCH(Planning!X$23,[5]Offday!$A$2:$AO$2,0)))</f>
        <v>0.29166666666666669</v>
      </c>
      <c r="Y32" s="401">
        <f>IF(VLOOKUP($A32,[5]Offday!$A$2:$AK$18,MATCH(Planning!Y$23,[5]Offday!$A$2:$AO$2,0))=0,$E32,VLOOKUP($A32,[5]Offday!$A$2:$AK$18,MATCH(Planning!Y$23,[5]Offday!$A$2:$AO$2,0)))</f>
        <v>0.29166666666666669</v>
      </c>
      <c r="Z32" s="401">
        <f>IF(VLOOKUP($A32,[5]Offday!$A$2:$AK$18,MATCH(Planning!Z$23,[5]Offday!$A$2:$AO$2,0))=0,$F32,VLOOKUP($A32,[5]Offday!$A$2:$AK$18,MATCH(Planning!Z$23,[5]Offday!$A$2:$AO$2,0)))</f>
        <v>0.29166666666666669</v>
      </c>
      <c r="AA32" s="410">
        <f>IF(VLOOKUP($A32,[5]Offday!$A$2:$AK$18,MATCH(Planning!AA$23,[5]Offday!$A$2:$AO$2,0))=0,$F32,VLOOKUP($A32,[5]Offday!$A$2:$AK$18,MATCH(Planning!AA$23,[5]Offday!$A$2:$AO$2,0)))</f>
        <v>0.29166666666666669</v>
      </c>
      <c r="AB32" s="401">
        <f>IF(VLOOKUP($A32,[5]Offday!$A$2:$AK$18,MATCH(Planning!AB$23,[5]Offday!$A$2:$AO$2,0))=0,$C32,VLOOKUP($A32,[5]Offday!$A$2:$AK$18,MATCH(Planning!AB$23,[5]Offday!$A$2:$AO$2,0)))</f>
        <v>0.375</v>
      </c>
      <c r="AC32" s="401">
        <f>IF(VLOOKUP($A32,[5]Offday!$A$2:$AK$18,MATCH(Planning!AC$23,[5]Offday!$A$2:$AO$2,0))=0,$C32,VLOOKUP($A32,[5]Offday!$A$2:$AK$18,MATCH(Planning!AC$23,[5]Offday!$A$2:$AO$2,0)))</f>
        <v>0.375</v>
      </c>
      <c r="AD32" s="401">
        <f>IF(VLOOKUP($A32,[5]Offday!$A$2:$AK$18,MATCH(Planning!AD$23,[5]Offday!$A$2:$AO$2,0))=0,$C32,VLOOKUP($A32,[5]Offday!$A$2:$AK$18,MATCH(Planning!AD$23,[5]Offday!$A$2:$AO$2,0)))</f>
        <v>0.375</v>
      </c>
      <c r="AE32" s="401">
        <f>IF(VLOOKUP($A32,[5]Offday!$A$2:$AK$18,MATCH(Planning!AE$23,[5]Offday!$A$2:$AO$2,0))=0,$E32,VLOOKUP($A32,[5]Offday!$A$2:$AK$18,MATCH(Planning!AE$23,[5]Offday!$A$2:$AO$2,0)))</f>
        <v>0.29166666666666669</v>
      </c>
      <c r="AF32" s="401">
        <f>IF(VLOOKUP($A32,[5]Offday!$A$2:$AK$18,MATCH(Planning!AF$23,[5]Offday!$A$2:$AO$2,0))=0,$E32,VLOOKUP($A32,[5]Offday!$A$2:$AK$18,MATCH(Planning!AF$23,[5]Offday!$A$2:$AO$2,0)))</f>
        <v>0.29166666666666669</v>
      </c>
      <c r="AG32" s="401">
        <f>IF(VLOOKUP($A32,[5]Offday!$A$2:$AK$18,MATCH(Planning!AG$23,[5]Offday!$A$2:$AO$2,0))=0,$F32,VLOOKUP($A32,[5]Offday!$A$2:$AK$18,MATCH(Planning!AG$23,[5]Offday!$A$2:$AO$2,0)))</f>
        <v>0.29166666666666669</v>
      </c>
      <c r="AH32" s="410">
        <f>IF(VLOOKUP($A32,[5]Offday!$A$2:$AK$18,MATCH(Planning!AH$23,[5]Offday!$A$2:$AO$2,0))=0,$F32,VLOOKUP($A32,[5]Offday!$A$2:$AK$18,MATCH(Planning!AH$23,[5]Offday!$A$2:$AO$2,0)))</f>
        <v>0.29166666666666669</v>
      </c>
      <c r="AI32" s="401">
        <f>IF(VLOOKUP($A32,[5]Offday!$A$2:$AK$18,MATCH(Planning!AI$23,[5]Offday!$A$2:$AO$2,0))=0,$C32,VLOOKUP($A32,[5]Offday!$A$2:$AK$18,MATCH(Planning!AI$23,[5]Offday!$A$2:$AO$2,0)))</f>
        <v>0.375</v>
      </c>
      <c r="AJ32" s="401">
        <f>IF(VLOOKUP($A32,[5]Offday!$A$2:$AK$18,MATCH(Planning!AJ$23,[5]Offday!$A$2:$AO$2,0))=0,$C32,VLOOKUP($A32,[5]Offday!$A$2:$AK$18,MATCH(Planning!AJ$23,[5]Offday!$A$2:$AO$2,0)))</f>
        <v>0.375</v>
      </c>
      <c r="AK32" s="401">
        <f>IF(VLOOKUP($A32,[5]Offday!$A$2:$AK$18,MATCH(Planning!AK$23,[5]Offday!$A$2:$AO$2,0))=0,$C32,VLOOKUP($A32,[5]Offday!$A$2:$AK$18,MATCH(Planning!AK$23,[5]Offday!$A$2:$AO$2,0)))</f>
        <v>0.375</v>
      </c>
      <c r="AL32" s="403">
        <f t="shared" si="4"/>
        <v>6</v>
      </c>
      <c r="AM32" s="404">
        <f t="shared" si="2"/>
        <v>2</v>
      </c>
      <c r="AN32" s="404">
        <f t="shared" si="3"/>
        <v>2</v>
      </c>
      <c r="AO32" s="405">
        <f t="shared" si="5"/>
        <v>4</v>
      </c>
    </row>
    <row r="33" spans="1:41" x14ac:dyDescent="0.25">
      <c r="A33" s="407">
        <v>10</v>
      </c>
      <c r="B33" s="398" t="str">
        <f>+[5]Offday!B12</f>
        <v>ATUTONU Ami Beatrice</v>
      </c>
      <c r="C33" s="408">
        <f>+[5]Offday!C12</f>
        <v>0.375</v>
      </c>
      <c r="D33" s="408">
        <f>+[5]Offday!D12</f>
        <v>0.5</v>
      </c>
      <c r="E33" s="408">
        <f>+[5]Offday!E12</f>
        <v>0.29166666666666669</v>
      </c>
      <c r="F33" s="409">
        <f>+[5]Offday!F12</f>
        <v>0.29166666666666669</v>
      </c>
      <c r="G33" s="401">
        <f>IF(VLOOKUP($A33,[5]Offday!$A$2:$AK$18,MATCH(Planning!G$23,[5]Offday!$A$2:$AO$2,0))=0,$E33,VLOOKUP($A33,[5]Offday!$A$2:$AK$18,MATCH(Planning!G$23,[5]Offday!$A$2:$AO$2,0)))</f>
        <v>0.29166666666666669</v>
      </c>
      <c r="H33" s="401">
        <f>IF(VLOOKUP($A33,[5]Offday!$A$2:$AK$18,MATCH(Planning!H$23,[5]Offday!$A$2:$AO$2,0))=0,$E33,VLOOKUP($A33,[5]Offday!$A$2:$AK$18,MATCH(Planning!H$23,[5]Offday!$A$2:$AO$2,0)))</f>
        <v>0.29166666666666669</v>
      </c>
      <c r="I33" s="401">
        <f>IF(VLOOKUP($A33,[5]Offday!$A$2:$AK$18,MATCH(Planning!I$23,[5]Offday!$A$2:$AO$2,0))=0,$D33,VLOOKUP($A33,[5]Offday!$A$2:$AK$18,MATCH(Planning!I$23,[5]Offday!$A$2:$AO$2,0)))</f>
        <v>0.5</v>
      </c>
      <c r="J33" s="401" t="str">
        <f>IF(VLOOKUP($A33,[5]Offday!$A$2:$AK$18,MATCH(Planning!J$23,[5]Offday!$A$2:$AO$2,0))=0,$D33,VLOOKUP($A33,[5]Offday!$A$2:$AK$18,MATCH(Planning!J$23,[5]Offday!$A$2:$AO$2,0)))</f>
        <v>O</v>
      </c>
      <c r="K33" s="401">
        <f>IF(VLOOKUP($A33,[5]Offday!$A$2:$AK$18,MATCH(Planning!K$23,[5]Offday!$A$2:$AO$2,0))=0,$E33,VLOOKUP($A33,[5]Offday!$A$2:$AK$18,MATCH(Planning!K$23,[5]Offday!$A$2:$AO$2,0)))</f>
        <v>0.29166666666666669</v>
      </c>
      <c r="L33" s="401" t="str">
        <f>IF(VLOOKUP($A33,[5]Offday!$A$2:$AK$18,MATCH(Planning!L$23,[5]Offday!$A$2:$AO$2,0))=0,$F33,VLOOKUP($A33,[5]Offday!$A$2:$AK$18,MATCH(Planning!L$23,[5]Offday!$A$2:$AO$2,0)))</f>
        <v>O</v>
      </c>
      <c r="M33" s="410">
        <f>IF(VLOOKUP($A33,[5]Offday!$A$2:$AK$18,MATCH(Planning!M$23,[5]Offday!$A$2:$AO$2,0))=0,$D33,VLOOKUP($A33,[5]Offday!$A$2:$AK$18,MATCH(Planning!M$23,[5]Offday!$A$2:$AO$2,0)))</f>
        <v>0.5</v>
      </c>
      <c r="N33" s="401">
        <f>IF(VLOOKUP($A33,[5]Offday!$A$2:$AK$18,MATCH(Planning!N$23,[5]Offday!$A$2:$AO$2,0))=0,$D33,VLOOKUP($A33,[5]Offday!$A$2:$AK$18,MATCH(Planning!N$23,[5]Offday!$A$2:$AO$2,0)))</f>
        <v>0.5</v>
      </c>
      <c r="O33" s="401">
        <f>IF(VLOOKUP($A33,[5]Offday!$A$2:$AK$18,MATCH(Planning!O$23,[5]Offday!$A$2:$AO$2,0))=0,$D33,VLOOKUP($A33,[5]Offday!$A$2:$AK$18,MATCH(Planning!O$23,[5]Offday!$A$2:$AO$2,0)))</f>
        <v>0.5</v>
      </c>
      <c r="P33" s="401">
        <f>IF(VLOOKUP($A33,[5]Offday!$A$2:$AK$18,MATCH(Planning!P$23,[5]Offday!$A$2:$AO$2,0))=0,$E33,VLOOKUP($A33,[5]Offday!$A$2:$AK$18,MATCH(Planning!P$23,[5]Offday!$A$2:$AO$2,0)))</f>
        <v>0.29166666666666669</v>
      </c>
      <c r="Q33" s="401">
        <f>IF(VLOOKUP($A33,[5]Offday!$A$2:$AK$18,MATCH(Planning!Q$23,[5]Offday!$A$2:$AO$2,0))=0,$E33,VLOOKUP($A33,[5]Offday!$A$2:$AK$18,MATCH(Planning!Q$23,[5]Offday!$A$2:$AO$2,0)))</f>
        <v>0.29166666666666669</v>
      </c>
      <c r="R33" s="401" t="str">
        <f>IF(VLOOKUP($A33,[5]Offday!$A$2:$AK$18,MATCH(Planning!R$23,[5]Offday!$A$2:$AO$2,0))=0,$E33,VLOOKUP($A33,[5]Offday!$A$2:$AK$18,MATCH(Planning!R$23,[5]Offday!$A$2:$AO$2,0)))</f>
        <v>O</v>
      </c>
      <c r="S33" s="401">
        <f>IF(VLOOKUP($A33,[5]Offday!$A$2:$AK$18,MATCH(Planning!S$23,[5]Offday!$A$2:$AO$2,0))=0,$F33,VLOOKUP($A33,[5]Offday!$A$2:$AK$18,MATCH(Planning!S$23,[5]Offday!$A$2:$AO$2,0)))</f>
        <v>0.29166666666666669</v>
      </c>
      <c r="T33" s="410" t="str">
        <f>IF(VLOOKUP($A33,[5]Offday!$A$2:$AK$18,MATCH(Planning!T$23,[5]Offday!$A$2:$AO$2,0))=0,$D33,VLOOKUP($A33,[5]Offday!$A$2:$AK$18,MATCH(Planning!T$23,[5]Offday!$A$2:$AO$2,0)))</f>
        <v>O</v>
      </c>
      <c r="U33" s="401">
        <f>IF(VLOOKUP($A33,[5]Offday!$A$2:$AK$18,MATCH(Planning!U$23,[5]Offday!$A$2:$AO$2,0))=0,$C33,VLOOKUP($A33,[5]Offday!$A$2:$AK$18,MATCH(Planning!U$23,[5]Offday!$A$2:$AO$2,0)))</f>
        <v>0.375</v>
      </c>
      <c r="V33" s="401">
        <f>IF(VLOOKUP($A33,[5]Offday!$A$2:$AK$18,MATCH(Planning!V$23,[5]Offday!$A$2:$AO$2,0))=0,$C33,VLOOKUP($A33,[5]Offday!$A$2:$AK$18,MATCH(Planning!V$23,[5]Offday!$A$2:$AO$2,0)))</f>
        <v>0.375</v>
      </c>
      <c r="W33" s="401">
        <f>IF(VLOOKUP($A33,[5]Offday!$A$2:$AK$18,MATCH(Planning!W$23,[5]Offday!$A$2:$AO$2,0))=0,$C33,VLOOKUP($A33,[5]Offday!$A$2:$AK$18,MATCH(Planning!W$23,[5]Offday!$A$2:$AO$2,0)))</f>
        <v>0.375</v>
      </c>
      <c r="X33" s="401">
        <f>IF(VLOOKUP($A33,[5]Offday!$A$2:$AK$18,MATCH(Planning!X$23,[5]Offday!$A$2:$AO$2,0))=0,$E33,VLOOKUP($A33,[5]Offday!$A$2:$AK$18,MATCH(Planning!X$23,[5]Offday!$A$2:$AO$2,0)))</f>
        <v>0.29166666666666669</v>
      </c>
      <c r="Y33" s="401">
        <f>IF(VLOOKUP($A33,[5]Offday!$A$2:$AK$18,MATCH(Planning!Y$23,[5]Offday!$A$2:$AO$2,0))=0,$E33,VLOOKUP($A33,[5]Offday!$A$2:$AK$18,MATCH(Planning!Y$23,[5]Offday!$A$2:$AO$2,0)))</f>
        <v>0.29166666666666669</v>
      </c>
      <c r="Z33" s="401">
        <f>IF(VLOOKUP($A33,[5]Offday!$A$2:$AK$18,MATCH(Planning!Z$23,[5]Offday!$A$2:$AO$2,0))=0,$F33,VLOOKUP($A33,[5]Offday!$A$2:$AK$18,MATCH(Planning!Z$23,[5]Offday!$A$2:$AO$2,0)))</f>
        <v>0.29166666666666669</v>
      </c>
      <c r="AA33" s="410">
        <f>IF(VLOOKUP($A33,[5]Offday!$A$2:$AK$18,MATCH(Planning!AA$23,[5]Offday!$A$2:$AO$2,0))=0,$F33,VLOOKUP($A33,[5]Offday!$A$2:$AK$18,MATCH(Planning!AA$23,[5]Offday!$A$2:$AO$2,0)))</f>
        <v>0.29166666666666669</v>
      </c>
      <c r="AB33" s="401">
        <f>IF(VLOOKUP($A33,[5]Offday!$A$2:$AK$18,MATCH(Planning!AB$23,[5]Offday!$A$2:$AO$2,0))=0,$C33,VLOOKUP($A33,[5]Offday!$A$2:$AK$18,MATCH(Planning!AB$23,[5]Offday!$A$2:$AO$2,0)))</f>
        <v>0.375</v>
      </c>
      <c r="AC33" s="401">
        <f>IF(VLOOKUP($A33,[5]Offday!$A$2:$AK$18,MATCH(Planning!AC$23,[5]Offday!$A$2:$AO$2,0))=0,$C33,VLOOKUP($A33,[5]Offday!$A$2:$AK$18,MATCH(Planning!AC$23,[5]Offday!$A$2:$AO$2,0)))</f>
        <v>0.375</v>
      </c>
      <c r="AD33" s="401">
        <f>IF(VLOOKUP($A33,[5]Offday!$A$2:$AK$18,MATCH(Planning!AD$23,[5]Offday!$A$2:$AO$2,0))=0,$C33,VLOOKUP($A33,[5]Offday!$A$2:$AK$18,MATCH(Planning!AD$23,[5]Offday!$A$2:$AO$2,0)))</f>
        <v>0.375</v>
      </c>
      <c r="AE33" s="401">
        <f>IF(VLOOKUP($A33,[5]Offday!$A$2:$AK$18,MATCH(Planning!AE$23,[5]Offday!$A$2:$AO$2,0))=0,$E33,VLOOKUP($A33,[5]Offday!$A$2:$AK$18,MATCH(Planning!AE$23,[5]Offday!$A$2:$AO$2,0)))</f>
        <v>0.29166666666666669</v>
      </c>
      <c r="AF33" s="401">
        <f>IF(VLOOKUP($A33,[5]Offday!$A$2:$AK$18,MATCH(Planning!AF$23,[5]Offday!$A$2:$AO$2,0))=0,$E33,VLOOKUP($A33,[5]Offday!$A$2:$AK$18,MATCH(Planning!AF$23,[5]Offday!$A$2:$AO$2,0)))</f>
        <v>0.29166666666666669</v>
      </c>
      <c r="AG33" s="401">
        <f>IF(VLOOKUP($A33,[5]Offday!$A$2:$AK$18,MATCH(Planning!AG$23,[5]Offday!$A$2:$AO$2,0))=0,$F33,VLOOKUP($A33,[5]Offday!$A$2:$AK$18,MATCH(Planning!AG$23,[5]Offday!$A$2:$AO$2,0)))</f>
        <v>0.29166666666666669</v>
      </c>
      <c r="AH33" s="410">
        <f>IF(VLOOKUP($A33,[5]Offday!$A$2:$AK$18,MATCH(Planning!AH$23,[5]Offday!$A$2:$AO$2,0))=0,$F33,VLOOKUP($A33,[5]Offday!$A$2:$AK$18,MATCH(Planning!AH$23,[5]Offday!$A$2:$AO$2,0)))</f>
        <v>0.29166666666666669</v>
      </c>
      <c r="AI33" s="401">
        <f>IF(VLOOKUP($A33,[5]Offday!$A$2:$AK$18,MATCH(Planning!AI$23,[5]Offday!$A$2:$AO$2,0))=0,$C33,VLOOKUP($A33,[5]Offday!$A$2:$AK$18,MATCH(Planning!AI$23,[5]Offday!$A$2:$AO$2,0)))</f>
        <v>0.375</v>
      </c>
      <c r="AJ33" s="401">
        <f>IF(VLOOKUP($A33,[5]Offday!$A$2:$AK$18,MATCH(Planning!AJ$23,[5]Offday!$A$2:$AO$2,0))=0,$C33,VLOOKUP($A33,[5]Offday!$A$2:$AK$18,MATCH(Planning!AJ$23,[5]Offday!$A$2:$AO$2,0)))</f>
        <v>0.375</v>
      </c>
      <c r="AK33" s="401">
        <f>IF(VLOOKUP($A33,[5]Offday!$A$2:$AK$18,MATCH(Planning!AK$23,[5]Offday!$A$2:$AO$2,0))=0,$C33,VLOOKUP($A33,[5]Offday!$A$2:$AK$18,MATCH(Planning!AK$23,[5]Offday!$A$2:$AO$2,0)))</f>
        <v>0.375</v>
      </c>
      <c r="AL33" s="403">
        <f t="shared" si="4"/>
        <v>6</v>
      </c>
      <c r="AM33" s="404">
        <f t="shared" si="2"/>
        <v>0</v>
      </c>
      <c r="AN33" s="404">
        <f t="shared" si="3"/>
        <v>4</v>
      </c>
      <c r="AO33" s="405">
        <f t="shared" si="5"/>
        <v>4</v>
      </c>
    </row>
    <row r="34" spans="1:41" ht="15" customHeight="1" x14ac:dyDescent="0.25">
      <c r="A34" s="411">
        <v>11</v>
      </c>
      <c r="B34" s="398" t="str">
        <f>+[5]Offday!B13</f>
        <v>ALAWI Eyana</v>
      </c>
      <c r="C34" s="408">
        <f>+[5]Offday!C13</f>
        <v>0.5</v>
      </c>
      <c r="D34" s="408">
        <f>+[5]Offday!D13</f>
        <v>0.5</v>
      </c>
      <c r="E34" s="408">
        <f>+[5]Offday!E13</f>
        <v>0.29166666666666669</v>
      </c>
      <c r="F34" s="409">
        <f>+[5]Offday!F13</f>
        <v>0.375</v>
      </c>
      <c r="G34" s="401">
        <f>IF(VLOOKUP($A34,[5]Offday!$A$2:$AK$18,MATCH(Planning!G$23,[5]Offday!$A$2:$AO$2,0))=0,$C34,VLOOKUP($A34,[5]Offday!$A$2:$AK$18,MATCH(Planning!G$23,[5]Offday!$A$2:$AO$2,0)))</f>
        <v>0.5</v>
      </c>
      <c r="H34" s="401">
        <f>IF(VLOOKUP($A34,[5]Offday!$A$2:$AK$18,MATCH(Planning!H$23,[5]Offday!$A$2:$AO$2,0))=0,$C34,VLOOKUP($A34,[5]Offday!$A$2:$AK$18,MATCH(Planning!H$23,[5]Offday!$A$2:$AO$2,0)))</f>
        <v>0.5</v>
      </c>
      <c r="I34" s="401">
        <f>IF(VLOOKUP($A34,[5]Offday!$A$2:$AK$18,MATCH(Planning!I$23,[5]Offday!$A$2:$AO$2,0))=0,$C34,VLOOKUP($A34,[5]Offday!$A$2:$AK$18,MATCH(Planning!I$23,[5]Offday!$A$2:$AO$2,0)))</f>
        <v>0.5</v>
      </c>
      <c r="J34" s="401">
        <f>IF(VLOOKUP($A34,[5]Offday!$A$2:$AK$18,MATCH(Planning!J$23,[5]Offday!$A$2:$AO$2,0))=0,$E34,VLOOKUP($A34,[5]Offday!$A$2:$AK$18,MATCH(Planning!J$23,[5]Offday!$A$2:$AO$2,0)))</f>
        <v>0.29166666666666669</v>
      </c>
      <c r="K34" s="401" t="str">
        <f>IF(VLOOKUP($A34,[5]Offday!$A$2:$AK$18,MATCH(Planning!K$23,[5]Offday!$A$2:$AO$2,0))=0,$C34,VLOOKUP($A34,[5]Offday!$A$2:$AK$18,MATCH(Planning!K$23,[5]Offday!$A$2:$AO$2,0)))</f>
        <v>O</v>
      </c>
      <c r="L34" s="401" t="str">
        <f>IF(VLOOKUP($A34,[5]Offday!$A$2:$AK$18,MATCH(Planning!L$23,[5]Offday!$A$2:$AO$2,0))=0,$F34,VLOOKUP($A34,[5]Offday!$A$2:$AK$18,MATCH(Planning!L$23,[5]Offday!$A$2:$AO$2,0)))</f>
        <v>O</v>
      </c>
      <c r="M34" s="410">
        <f>IF(VLOOKUP($A34,[5]Offday!$A$2:$AK$18,MATCH(Planning!M$23,[5]Offday!$A$2:$AO$2,0))=0,$E34,VLOOKUP($A34,[5]Offday!$A$2:$AK$18,MATCH(Planning!M$23,[5]Offday!$A$2:$AO$2,0)))</f>
        <v>0.29166666666666669</v>
      </c>
      <c r="N34" s="401" t="str">
        <f>IF(VLOOKUP($A34,[5]Offday!$A$2:$AK$18,MATCH(Planning!N$23,[5]Offday!$A$2:$AO$2,0))=0,$C34,VLOOKUP($A34,[5]Offday!$A$2:$AK$18,MATCH(Planning!N$23,[5]Offday!$A$2:$AO$2,0)))</f>
        <v>O</v>
      </c>
      <c r="O34" s="401">
        <f>IF(VLOOKUP($A34,[5]Offday!$A$2:$AK$18,MATCH(Planning!O$23,[5]Offday!$A$2:$AO$2,0))=0,$F34,VLOOKUP($A34,[5]Offday!$A$2:$AK$18,MATCH(Planning!O$23,[5]Offday!$A$2:$AO$2,0)))</f>
        <v>0.375</v>
      </c>
      <c r="P34" s="401">
        <f>IF(VLOOKUP($A34,[5]Offday!$A$2:$AK$18,MATCH(Planning!P$23,[5]Offday!$A$2:$AO$2,0))=0,$C34,VLOOKUP($A34,[5]Offday!$A$2:$AK$18,MATCH(Planning!P$23,[5]Offday!$A$2:$AO$2,0)))</f>
        <v>0.5</v>
      </c>
      <c r="Q34" s="401">
        <f>IF(VLOOKUP($A34,[5]Offday!$A$2:$AK$18,MATCH(Planning!Q$23,[5]Offday!$A$2:$AO$2,0))=0,$E34,VLOOKUP($A34,[5]Offday!$A$2:$AK$18,MATCH(Planning!Q$23,[5]Offday!$A$2:$AO$2,0)))</f>
        <v>0.29166666666666669</v>
      </c>
      <c r="R34" s="401">
        <f>IF(VLOOKUP($A34,[5]Offday!$A$2:$AK$18,MATCH(Planning!R$23,[5]Offday!$A$2:$AO$2,0))=0,$E34,VLOOKUP($A34,[5]Offday!$A$2:$AK$18,MATCH(Planning!R$23,[5]Offday!$A$2:$AO$2,0)))</f>
        <v>0.29166666666666669</v>
      </c>
      <c r="S34" s="401">
        <f>IF(VLOOKUP($A34,[5]Offday!$A$2:$AK$18,MATCH(Planning!S$23,[5]Offday!$A$2:$AO$2,0))=0,$E34,VLOOKUP($A34,[5]Offday!$A$2:$AK$18,MATCH(Planning!S$23,[5]Offday!$A$2:$AO$2,0)))</f>
        <v>0.29166666666666669</v>
      </c>
      <c r="T34" s="410" t="str">
        <f>IF(VLOOKUP($A34,[5]Offday!$A$2:$AK$18,MATCH(Planning!T$23,[5]Offday!$A$2:$AO$2,0))=0,$F34,VLOOKUP($A34,[5]Offday!$A$2:$AK$18,MATCH(Planning!T$23,[5]Offday!$A$2:$AO$2,0)))</f>
        <v>O</v>
      </c>
      <c r="U34" s="401">
        <f>IF(VLOOKUP($A34,[5]Offday!$A$2:$AK$18,MATCH(Planning!U$23,[5]Offday!$A$2:$AO$2,0))=0,$C34,VLOOKUP($A34,[5]Offday!$A$2:$AK$18,MATCH(Planning!U$23,[5]Offday!$A$2:$AO$2,0)))</f>
        <v>0.5</v>
      </c>
      <c r="V34" s="401">
        <f>IF(VLOOKUP($A34,[5]Offday!$A$2:$AK$18,MATCH(Planning!V$23,[5]Offday!$A$2:$AO$2,0))=0,$C34,VLOOKUP($A34,[5]Offday!$A$2:$AK$18,MATCH(Planning!V$23,[5]Offday!$A$2:$AO$2,0)))</f>
        <v>0.5</v>
      </c>
      <c r="W34" s="401">
        <f>IF(VLOOKUP($A34,[5]Offday!$A$2:$AK$18,MATCH(Planning!W$23,[5]Offday!$A$2:$AO$2,0))=0,$C34,VLOOKUP($A34,[5]Offday!$A$2:$AK$18,MATCH(Planning!W$23,[5]Offday!$A$2:$AO$2,0)))</f>
        <v>0.5</v>
      </c>
      <c r="X34" s="401">
        <f>IF(VLOOKUP($A34,[5]Offday!$A$2:$AK$18,MATCH(Planning!X$23,[5]Offday!$A$2:$AO$2,0))=0,$E34,VLOOKUP($A34,[5]Offday!$A$2:$AK$18,MATCH(Planning!X$23,[5]Offday!$A$2:$AO$2,0)))</f>
        <v>0.29166666666666669</v>
      </c>
      <c r="Y34" s="401">
        <f>IF(VLOOKUP($A34,[5]Offday!$A$2:$AK$18,MATCH(Planning!Y$23,[5]Offday!$A$2:$AO$2,0))=0,$E34,VLOOKUP($A34,[5]Offday!$A$2:$AK$18,MATCH(Planning!Y$23,[5]Offday!$A$2:$AO$2,0)))</f>
        <v>0.29166666666666669</v>
      </c>
      <c r="Z34" s="401">
        <f>IF(VLOOKUP($A34,[5]Offday!$A$2:$AK$18,MATCH(Planning!Z$23,[5]Offday!$A$2:$AO$2,0))=0,$F34,VLOOKUP($A34,[5]Offday!$A$2:$AK$18,MATCH(Planning!Z$23,[5]Offday!$A$2:$AO$2,0)))</f>
        <v>0.375</v>
      </c>
      <c r="AA34" s="410">
        <f>IF(VLOOKUP($A34,[5]Offday!$A$2:$AK$18,MATCH(Planning!AA$23,[5]Offday!$A$2:$AO$2,0))=0,$F34,VLOOKUP($A34,[5]Offday!$A$2:$AK$18,MATCH(Planning!AA$23,[5]Offday!$A$2:$AO$2,0)))</f>
        <v>0.375</v>
      </c>
      <c r="AB34" s="401">
        <f>IF(VLOOKUP($A34,[5]Offday!$A$2:$AK$18,MATCH(Planning!AB$23,[5]Offday!$A$2:$AO$2,0))=0,$C34,VLOOKUP($A34,[5]Offday!$A$2:$AK$18,MATCH(Planning!AB$23,[5]Offday!$A$2:$AO$2,0)))</f>
        <v>0.5</v>
      </c>
      <c r="AC34" s="401">
        <f>IF(VLOOKUP($A34,[5]Offday!$A$2:$AK$18,MATCH(Planning!AC$23,[5]Offday!$A$2:$AO$2,0))=0,$C34,VLOOKUP($A34,[5]Offday!$A$2:$AK$18,MATCH(Planning!AC$23,[5]Offday!$A$2:$AO$2,0)))</f>
        <v>0.5</v>
      </c>
      <c r="AD34" s="401">
        <f>IF(VLOOKUP($A34,[5]Offday!$A$2:$AK$18,MATCH(Planning!AD$23,[5]Offday!$A$2:$AO$2,0))=0,$C34,VLOOKUP($A34,[5]Offday!$A$2:$AK$18,MATCH(Planning!AD$23,[5]Offday!$A$2:$AO$2,0)))</f>
        <v>0.5</v>
      </c>
      <c r="AE34" s="401">
        <f>IF(VLOOKUP($A34,[5]Offday!$A$2:$AK$18,MATCH(Planning!AE$23,[5]Offday!$A$2:$AO$2,0))=0,$E34,VLOOKUP($A34,[5]Offday!$A$2:$AK$18,MATCH(Planning!AE$23,[5]Offday!$A$2:$AO$2,0)))</f>
        <v>0.29166666666666669</v>
      </c>
      <c r="AF34" s="401">
        <f>IF(VLOOKUP($A34,[5]Offday!$A$2:$AK$18,MATCH(Planning!AF$23,[5]Offday!$A$2:$AO$2,0))=0,$E34,VLOOKUP($A34,[5]Offday!$A$2:$AK$18,MATCH(Planning!AF$23,[5]Offday!$A$2:$AO$2,0)))</f>
        <v>0.29166666666666669</v>
      </c>
      <c r="AG34" s="401">
        <f>IF(VLOOKUP($A34,[5]Offday!$A$2:$AK$18,MATCH(Planning!AG$23,[5]Offday!$A$2:$AO$2,0))=0,$F34,VLOOKUP($A34,[5]Offday!$A$2:$AK$18,MATCH(Planning!AG$23,[5]Offday!$A$2:$AO$2,0)))</f>
        <v>0.375</v>
      </c>
      <c r="AH34" s="410">
        <f>IF(VLOOKUP($A34,[5]Offday!$A$2:$AK$18,MATCH(Planning!AH$23,[5]Offday!$A$2:$AO$2,0))=0,$F34,VLOOKUP($A34,[5]Offday!$A$2:$AK$18,MATCH(Planning!AH$23,[5]Offday!$A$2:$AO$2,0)))</f>
        <v>0.375</v>
      </c>
      <c r="AI34" s="401">
        <f>IF(VLOOKUP($A34,[5]Offday!$A$2:$AK$18,MATCH(Planning!AI$23,[5]Offday!$A$2:$AO$2,0))=0,$C34,VLOOKUP($A34,[5]Offday!$A$2:$AK$18,MATCH(Planning!AI$23,[5]Offday!$A$2:$AO$2,0)))</f>
        <v>0.5</v>
      </c>
      <c r="AJ34" s="401">
        <f>IF(VLOOKUP($A34,[5]Offday!$A$2:$AK$18,MATCH(Planning!AJ$23,[5]Offday!$A$2:$AO$2,0))=0,$C34,VLOOKUP($A34,[5]Offday!$A$2:$AK$18,MATCH(Planning!AJ$23,[5]Offday!$A$2:$AO$2,0)))</f>
        <v>0.5</v>
      </c>
      <c r="AK34" s="401">
        <f>IF(VLOOKUP($A34,[5]Offday!$A$2:$AK$18,MATCH(Planning!AK$23,[5]Offday!$A$2:$AO$2,0))=0,$C34,VLOOKUP($A34,[5]Offday!$A$2:$AK$18,MATCH(Planning!AK$23,[5]Offday!$A$2:$AO$2,0)))</f>
        <v>0.5</v>
      </c>
      <c r="AL34" s="403">
        <f t="shared" si="4"/>
        <v>5</v>
      </c>
      <c r="AM34" s="404">
        <f t="shared" si="2"/>
        <v>1</v>
      </c>
      <c r="AN34" s="404">
        <f t="shared" si="3"/>
        <v>4</v>
      </c>
      <c r="AO34" s="405">
        <f t="shared" si="5"/>
        <v>4</v>
      </c>
    </row>
    <row r="35" spans="1:41" ht="15" customHeight="1" x14ac:dyDescent="0.25">
      <c r="A35" s="407">
        <v>12</v>
      </c>
      <c r="B35" s="398" t="str">
        <f>+[5]Offday!B14</f>
        <v>AGBEVE Ablavi Claire</v>
      </c>
      <c r="C35" s="408">
        <f>+[5]Offday!C14</f>
        <v>0.5</v>
      </c>
      <c r="D35" s="408">
        <f>+[5]Offday!D14</f>
        <v>0.29166666666666669</v>
      </c>
      <c r="E35" s="408">
        <f>+[5]Offday!E14</f>
        <v>0.5</v>
      </c>
      <c r="F35" s="409">
        <f>+[5]Offday!F14</f>
        <v>0.375</v>
      </c>
      <c r="G35" s="401">
        <f>IF(VLOOKUP($A35,[5]Offday!$A$2:$AK$18,MATCH(Planning!G$23,[5]Offday!$A$2:$AO$2,0))=0,$D35,VLOOKUP($A35,[5]Offday!$A$2:$AK$18,MATCH(Planning!G$23,[5]Offday!$A$2:$AO$2,0)))</f>
        <v>0.29166666666666669</v>
      </c>
      <c r="H35" s="401">
        <f>IF(VLOOKUP($A35,[5]Offday!$A$2:$AK$18,MATCH(Planning!H$23,[5]Offday!$A$2:$AO$2,0))=0,$C35,VLOOKUP($A35,[5]Offday!$A$2:$AK$18,MATCH(Planning!H$23,[5]Offday!$A$2:$AO$2,0)))</f>
        <v>0.5</v>
      </c>
      <c r="I35" s="401" t="str">
        <f>IF(VLOOKUP($A35,[5]Offday!$A$2:$AK$18,MATCH(Planning!I$23,[5]Offday!$A$2:$AO$2,0))=0,$D35,VLOOKUP($A35,[5]Offday!$A$2:$AK$18,MATCH(Planning!I$23,[5]Offday!$A$2:$AO$2,0)))</f>
        <v>O</v>
      </c>
      <c r="J35" s="401">
        <f>IF(VLOOKUP($A35,[5]Offday!$A$2:$AK$18,MATCH(Planning!J$23,[5]Offday!$A$2:$AO$2,0))=0,$E35,VLOOKUP($A35,[5]Offday!$A$2:$AK$18,MATCH(Planning!J$23,[5]Offday!$A$2:$AO$2,0)))</f>
        <v>0.5</v>
      </c>
      <c r="K35" s="401" t="str">
        <f>IF(VLOOKUP($A35,[5]Offday!$A$2:$AK$18,MATCH(Planning!K$23,[5]Offday!$A$2:$AO$2,0))=0,$E35,VLOOKUP($A35,[5]Offday!$A$2:$AK$18,MATCH(Planning!K$23,[5]Offday!$A$2:$AO$2,0)))</f>
        <v>O</v>
      </c>
      <c r="L35" s="401">
        <f>IF(VLOOKUP($A35,[5]Offday!$A$2:$AK$18,MATCH(Planning!L$23,[5]Offday!$A$2:$AO$2,0))=0,$D35,VLOOKUP($A35,[5]Offday!$A$2:$AK$18,MATCH(Planning!L$23,[5]Offday!$A$2:$AO$2,0)))</f>
        <v>0.29166666666666669</v>
      </c>
      <c r="M35" s="410">
        <f>IF(VLOOKUP($A35,[5]Offday!$A$2:$AK$18,MATCH(Planning!M$23,[5]Offday!$A$2:$AO$2,0))=0,$F35,VLOOKUP($A35,[5]Offday!$A$2:$AK$18,MATCH(Planning!M$23,[5]Offday!$A$2:$AO$2,0)))</f>
        <v>0.375</v>
      </c>
      <c r="N35" s="401">
        <f>IF(VLOOKUP($A35,[5]Offday!$A$2:$AK$18,MATCH(Planning!N$23,[5]Offday!$A$2:$AO$2,0))=0,$C35,VLOOKUP($A35,[5]Offday!$A$2:$AK$18,MATCH(Planning!N$23,[5]Offday!$A$2:$AO$2,0)))</f>
        <v>0.5</v>
      </c>
      <c r="O35" s="401">
        <f>IF(VLOOKUP($A35,[5]Offday!$A$2:$AK$18,MATCH(Planning!O$23,[5]Offday!$A$2:$AO$2,0))=0,$C35,VLOOKUP($A35,[5]Offday!$A$2:$AK$18,MATCH(Planning!O$23,[5]Offday!$A$2:$AO$2,0)))</f>
        <v>0.5</v>
      </c>
      <c r="P35" s="401">
        <f>IF(VLOOKUP($A35,[5]Offday!$A$2:$AK$18,MATCH(Planning!P$23,[5]Offday!$A$2:$AO$2,0))=0,$D35,VLOOKUP($A35,[5]Offday!$A$2:$AK$18,MATCH(Planning!P$23,[5]Offday!$A$2:$AO$2,0)))</f>
        <v>0.29166666666666669</v>
      </c>
      <c r="Q35" s="401">
        <f>IF(VLOOKUP($A35,[5]Offday!$A$2:$AK$18,MATCH(Planning!Q$23,[5]Offday!$A$2:$AO$2,0))=0,$D35,VLOOKUP($A35,[5]Offday!$A$2:$AK$18,MATCH(Planning!Q$23,[5]Offday!$A$2:$AO$2,0)))</f>
        <v>0.29166666666666669</v>
      </c>
      <c r="R35" s="401" t="str">
        <f>IF(VLOOKUP($A35,[5]Offday!$A$2:$AK$18,MATCH(Planning!R$23,[5]Offday!$A$2:$AO$2,0))=0,$E35,VLOOKUP($A35,[5]Offday!$A$2:$AK$18,MATCH(Planning!R$23,[5]Offday!$A$2:$AO$2,0)))</f>
        <v>O</v>
      </c>
      <c r="S35" s="401">
        <f>IF(VLOOKUP($A35,[5]Offday!$A$2:$AK$18,MATCH(Planning!S$23,[5]Offday!$A$2:$AO$2,0))=0,$C35,VLOOKUP($A35,[5]Offday!$A$2:$AK$18,MATCH(Planning!S$23,[5]Offday!$A$2:$AO$2,0)))</f>
        <v>0.5</v>
      </c>
      <c r="T35" s="410" t="str">
        <f>IF(VLOOKUP($A35,[5]Offday!$A$2:$AK$18,MATCH(Planning!T$23,[5]Offday!$A$2:$AO$2,0))=0,$F35,VLOOKUP($A35,[5]Offday!$A$2:$AK$18,MATCH(Planning!T$23,[5]Offday!$A$2:$AO$2,0)))</f>
        <v>O</v>
      </c>
      <c r="U35" s="401">
        <f>IF(VLOOKUP($A35,[5]Offday!$A$2:$AK$18,MATCH(Planning!U$23,[5]Offday!$A$2:$AO$2,0))=0,$C35,VLOOKUP($A35,[5]Offday!$A$2:$AK$18,MATCH(Planning!U$23,[5]Offday!$A$2:$AO$2,0)))</f>
        <v>0.5</v>
      </c>
      <c r="V35" s="401">
        <f>IF(VLOOKUP($A35,[5]Offday!$A$2:$AK$18,MATCH(Planning!V$23,[5]Offday!$A$2:$AO$2,0))=0,$C35,VLOOKUP($A35,[5]Offday!$A$2:$AK$18,MATCH(Planning!V$23,[5]Offday!$A$2:$AO$2,0)))</f>
        <v>0.5</v>
      </c>
      <c r="W35" s="401">
        <f>IF(VLOOKUP($A35,[5]Offday!$A$2:$AK$18,MATCH(Planning!W$23,[5]Offday!$A$2:$AO$2,0))=0,$C35,VLOOKUP($A35,[5]Offday!$A$2:$AK$18,MATCH(Planning!W$23,[5]Offday!$A$2:$AO$2,0)))</f>
        <v>0.5</v>
      </c>
      <c r="X35" s="401">
        <f>IF(VLOOKUP($A35,[5]Offday!$A$2:$AK$18,MATCH(Planning!X$23,[5]Offday!$A$2:$AO$2,0))=0,$E35,VLOOKUP($A35,[5]Offday!$A$2:$AK$18,MATCH(Planning!X$23,[5]Offday!$A$2:$AO$2,0)))</f>
        <v>0.5</v>
      </c>
      <c r="Y35" s="401">
        <f>IF(VLOOKUP($A35,[5]Offday!$A$2:$AK$18,MATCH(Planning!Y$23,[5]Offday!$A$2:$AO$2,0))=0,$E35,VLOOKUP($A35,[5]Offday!$A$2:$AK$18,MATCH(Planning!Y$23,[5]Offday!$A$2:$AO$2,0)))</f>
        <v>0.5</v>
      </c>
      <c r="Z35" s="401">
        <f>IF(VLOOKUP($A35,[5]Offday!$A$2:$AK$18,MATCH(Planning!Z$23,[5]Offday!$A$2:$AO$2,0))=0,$F35,VLOOKUP($A35,[5]Offday!$A$2:$AK$18,MATCH(Planning!Z$23,[5]Offday!$A$2:$AO$2,0)))</f>
        <v>0.375</v>
      </c>
      <c r="AA35" s="410">
        <f>IF(VLOOKUP($A35,[5]Offday!$A$2:$AK$18,MATCH(Planning!AA$23,[5]Offday!$A$2:$AO$2,0))=0,$F35,VLOOKUP($A35,[5]Offday!$A$2:$AK$18,MATCH(Planning!AA$23,[5]Offday!$A$2:$AO$2,0)))</f>
        <v>0.375</v>
      </c>
      <c r="AB35" s="401">
        <f>IF(VLOOKUP($A35,[5]Offday!$A$2:$AK$18,MATCH(Planning!AB$23,[5]Offday!$A$2:$AO$2,0))=0,$C35,VLOOKUP($A35,[5]Offday!$A$2:$AK$18,MATCH(Planning!AB$23,[5]Offday!$A$2:$AO$2,0)))</f>
        <v>0.5</v>
      </c>
      <c r="AC35" s="401">
        <f>IF(VLOOKUP($A35,[5]Offday!$A$2:$AK$18,MATCH(Planning!AC$23,[5]Offday!$A$2:$AO$2,0))=0,$C35,VLOOKUP($A35,[5]Offday!$A$2:$AK$18,MATCH(Planning!AC$23,[5]Offday!$A$2:$AO$2,0)))</f>
        <v>0.5</v>
      </c>
      <c r="AD35" s="401">
        <f>IF(VLOOKUP($A35,[5]Offday!$A$2:$AK$18,MATCH(Planning!AD$23,[5]Offday!$A$2:$AO$2,0))=0,$C35,VLOOKUP($A35,[5]Offday!$A$2:$AK$18,MATCH(Planning!AD$23,[5]Offday!$A$2:$AO$2,0)))</f>
        <v>0.5</v>
      </c>
      <c r="AE35" s="401">
        <f>IF(VLOOKUP($A35,[5]Offday!$A$2:$AK$18,MATCH(Planning!AE$23,[5]Offday!$A$2:$AO$2,0))=0,$E35,VLOOKUP($A35,[5]Offday!$A$2:$AK$18,MATCH(Planning!AE$23,[5]Offday!$A$2:$AO$2,0)))</f>
        <v>0.5</v>
      </c>
      <c r="AF35" s="401">
        <f>IF(VLOOKUP($A35,[5]Offday!$A$2:$AK$18,MATCH(Planning!AF$23,[5]Offday!$A$2:$AO$2,0))=0,$E35,VLOOKUP($A35,[5]Offday!$A$2:$AK$18,MATCH(Planning!AF$23,[5]Offday!$A$2:$AO$2,0)))</f>
        <v>0.5</v>
      </c>
      <c r="AG35" s="401">
        <f>IF(VLOOKUP($A35,[5]Offday!$A$2:$AK$18,MATCH(Planning!AG$23,[5]Offday!$A$2:$AO$2,0))=0,$F35,VLOOKUP($A35,[5]Offday!$A$2:$AK$18,MATCH(Planning!AG$23,[5]Offday!$A$2:$AO$2,0)))</f>
        <v>0.375</v>
      </c>
      <c r="AH35" s="410">
        <f>IF(VLOOKUP($A35,[5]Offday!$A$2:$AK$18,MATCH(Planning!AH$23,[5]Offday!$A$2:$AO$2,0))=0,$F35,VLOOKUP($A35,[5]Offday!$A$2:$AK$18,MATCH(Planning!AH$23,[5]Offday!$A$2:$AO$2,0)))</f>
        <v>0.375</v>
      </c>
      <c r="AI35" s="401">
        <f>IF(VLOOKUP($A35,[5]Offday!$A$2:$AK$18,MATCH(Planning!AI$23,[5]Offday!$A$2:$AO$2,0))=0,$C35,VLOOKUP($A35,[5]Offday!$A$2:$AK$18,MATCH(Planning!AI$23,[5]Offday!$A$2:$AO$2,0)))</f>
        <v>0.5</v>
      </c>
      <c r="AJ35" s="401">
        <f>IF(VLOOKUP($A35,[5]Offday!$A$2:$AK$18,MATCH(Planning!AJ$23,[5]Offday!$A$2:$AO$2,0))=0,$C35,VLOOKUP($A35,[5]Offday!$A$2:$AK$18,MATCH(Planning!AJ$23,[5]Offday!$A$2:$AO$2,0)))</f>
        <v>0.5</v>
      </c>
      <c r="AK35" s="401">
        <f>IF(VLOOKUP($A35,[5]Offday!$A$2:$AK$18,MATCH(Planning!AK$23,[5]Offday!$A$2:$AO$2,0))=0,$C35,VLOOKUP($A35,[5]Offday!$A$2:$AK$18,MATCH(Planning!AK$23,[5]Offday!$A$2:$AO$2,0)))</f>
        <v>0.5</v>
      </c>
      <c r="AL35" s="403">
        <f t="shared" si="4"/>
        <v>4</v>
      </c>
      <c r="AM35" s="404">
        <f t="shared" si="2"/>
        <v>1</v>
      </c>
      <c r="AN35" s="404">
        <f t="shared" si="3"/>
        <v>5</v>
      </c>
      <c r="AO35" s="405">
        <f t="shared" si="5"/>
        <v>4</v>
      </c>
    </row>
    <row r="36" spans="1:41" ht="15" customHeight="1" x14ac:dyDescent="0.25">
      <c r="A36" s="411">
        <v>13</v>
      </c>
      <c r="B36" s="398" t="str">
        <f>+[5]Offday!B15</f>
        <v>AFANNOU Yaovi Rene</v>
      </c>
      <c r="C36" s="408">
        <f>+[5]Offday!C15</f>
        <v>0.5</v>
      </c>
      <c r="D36" s="408">
        <f>+[5]Offday!D15</f>
        <v>0.29166666666666669</v>
      </c>
      <c r="E36" s="408">
        <f>+[5]Offday!E15</f>
        <v>0.5</v>
      </c>
      <c r="F36" s="409">
        <f>+[5]Offday!F15</f>
        <v>0.375</v>
      </c>
      <c r="G36" s="401">
        <f>IF(VLOOKUP($A36,[5]Offday!$A$2:$AK$18,MATCH(Planning!G$23,[5]Offday!$A$2:$AO$2,0))=0,$D36,VLOOKUP($A36,[5]Offday!$A$2:$AK$18,MATCH(Planning!G$23,[5]Offday!$A$2:$AO$2,0)))</f>
        <v>0.29166666666666669</v>
      </c>
      <c r="H36" s="401">
        <f>IF(VLOOKUP($A36,[5]Offday!$A$2:$AK$18,MATCH(Planning!H$23,[5]Offday!$A$2:$AO$2,0))=0,$C36,VLOOKUP($A36,[5]Offday!$A$2:$AK$18,MATCH(Planning!H$23,[5]Offday!$A$2:$AO$2,0)))</f>
        <v>0.5</v>
      </c>
      <c r="I36" s="401" t="str">
        <f>IF(VLOOKUP($A36,[5]Offday!$A$2:$AK$18,MATCH(Planning!I$23,[5]Offday!$A$2:$AO$2,0))=0,$D36,VLOOKUP($A36,[5]Offday!$A$2:$AK$18,MATCH(Planning!I$23,[5]Offday!$A$2:$AO$2,0)))</f>
        <v>O</v>
      </c>
      <c r="J36" s="401">
        <f>IF(VLOOKUP($A36,[5]Offday!$A$2:$AK$18,MATCH(Planning!J$23,[5]Offday!$A$2:$AO$2,0))=0,$D36,VLOOKUP($A36,[5]Offday!$A$2:$AK$18,MATCH(Planning!J$23,[5]Offday!$A$2:$AO$2,0)))</f>
        <v>0.29166666666666669</v>
      </c>
      <c r="K36" s="401" t="str">
        <f>IF(VLOOKUP($A36,[5]Offday!$A$2:$AK$18,MATCH(Planning!K$23,[5]Offday!$A$2:$AO$2,0))=0,$E36,VLOOKUP($A36,[5]Offday!$A$2:$AK$18,MATCH(Planning!K$23,[5]Offday!$A$2:$AO$2,0)))</f>
        <v>O</v>
      </c>
      <c r="L36" s="401">
        <f>IF(VLOOKUP($A36,[5]Offday!$A$2:$AK$18,MATCH(Planning!L$23,[5]Offday!$A$2:$AO$2,0))=0,$C36,VLOOKUP($A36,[5]Offday!$A$2:$AK$18,MATCH(Planning!L$23,[5]Offday!$A$2:$AO$2,0)))</f>
        <v>0.5</v>
      </c>
      <c r="M36" s="410">
        <f>IF(VLOOKUP($A36,[5]Offday!$A$2:$AK$18,MATCH(Planning!M$23,[5]Offday!$A$2:$AO$2,0))=0,$D36,VLOOKUP($A36,[5]Offday!$A$2:$AK$18,MATCH(Planning!M$23,[5]Offday!$A$2:$AO$2,0)))</f>
        <v>0.29166666666666669</v>
      </c>
      <c r="N36" s="401">
        <f>IF(VLOOKUP($A36,[5]Offday!$A$2:$AK$18,MATCH(Planning!N$23,[5]Offday!$A$2:$AO$2,0))=0,$C36,VLOOKUP($A36,[5]Offday!$A$2:$AK$18,MATCH(Planning!N$23,[5]Offday!$A$2:$AO$2,0)))</f>
        <v>0.5</v>
      </c>
      <c r="O36" s="401">
        <f>IF(VLOOKUP($A36,[5]Offday!$A$2:$AK$18,MATCH(Planning!O$23,[5]Offday!$A$2:$AO$2,0))=0,$C36,VLOOKUP($A36,[5]Offday!$A$2:$AK$18,MATCH(Planning!O$23,[5]Offday!$A$2:$AO$2,0)))</f>
        <v>0.5</v>
      </c>
      <c r="P36" s="401">
        <f>IF(VLOOKUP($A36,[5]Offday!$A$2:$AK$18,MATCH(Planning!P$23,[5]Offday!$A$2:$AO$2,0))=0,$C36,VLOOKUP($A36,[5]Offday!$A$2:$AK$18,MATCH(Planning!P$23,[5]Offday!$A$2:$AO$2,0)))</f>
        <v>0.5</v>
      </c>
      <c r="Q36" s="401">
        <f>IF(VLOOKUP($A36,[5]Offday!$A$2:$AK$18,MATCH(Planning!Q$23,[5]Offday!$A$2:$AO$2,0))=0,$E36,VLOOKUP($A36,[5]Offday!$A$2:$AK$18,MATCH(Planning!Q$23,[5]Offday!$A$2:$AO$2,0)))</f>
        <v>0.5</v>
      </c>
      <c r="R36" s="401" t="str">
        <f>IF(VLOOKUP($A36,[5]Offday!$A$2:$AK$18,MATCH(Planning!R$23,[5]Offday!$A$2:$AO$2,0))=0,$E36,VLOOKUP($A36,[5]Offday!$A$2:$AK$18,MATCH(Planning!R$23,[5]Offday!$A$2:$AO$2,0)))</f>
        <v>O</v>
      </c>
      <c r="S36" s="401">
        <f>IF(VLOOKUP($A36,[5]Offday!$A$2:$AK$18,MATCH(Planning!S$23,[5]Offday!$A$2:$AO$2,0))=0,$F36,VLOOKUP($A36,[5]Offday!$A$2:$AK$18,MATCH(Planning!S$23,[5]Offday!$A$2:$AO$2,0)))</f>
        <v>0.375</v>
      </c>
      <c r="T36" s="410" t="str">
        <f>IF(VLOOKUP($A36,[5]Offday!$A$2:$AK$18,MATCH(Planning!T$23,[5]Offday!$A$2:$AO$2,0))=0,$F36,VLOOKUP($A36,[5]Offday!$A$2:$AK$18,MATCH(Planning!T$23,[5]Offday!$A$2:$AO$2,0)))</f>
        <v>O</v>
      </c>
      <c r="U36" s="401">
        <f>IF(VLOOKUP($A36,[5]Offday!$A$2:$AK$18,MATCH(Planning!U$23,[5]Offday!$A$2:$AO$2,0))=0,$C36,VLOOKUP($A36,[5]Offday!$A$2:$AK$18,MATCH(Planning!U$23,[5]Offday!$A$2:$AO$2,0)))</f>
        <v>0.5</v>
      </c>
      <c r="V36" s="401">
        <f>IF(VLOOKUP($A36,[5]Offday!$A$2:$AK$18,MATCH(Planning!V$23,[5]Offday!$A$2:$AO$2,0))=0,$C36,VLOOKUP($A36,[5]Offday!$A$2:$AK$18,MATCH(Planning!V$23,[5]Offday!$A$2:$AO$2,0)))</f>
        <v>0.5</v>
      </c>
      <c r="W36" s="401">
        <f>IF(VLOOKUP($A36,[5]Offday!$A$2:$AK$18,MATCH(Planning!W$23,[5]Offday!$A$2:$AO$2,0))=0,$C36,VLOOKUP($A36,[5]Offday!$A$2:$AK$18,MATCH(Planning!W$23,[5]Offday!$A$2:$AO$2,0)))</f>
        <v>0.5</v>
      </c>
      <c r="X36" s="401">
        <f>IF(VLOOKUP($A36,[5]Offday!$A$2:$AK$18,MATCH(Planning!X$23,[5]Offday!$A$2:$AO$2,0))=0,$E36,VLOOKUP($A36,[5]Offday!$A$2:$AK$18,MATCH(Planning!X$23,[5]Offday!$A$2:$AO$2,0)))</f>
        <v>0.5</v>
      </c>
      <c r="Y36" s="401">
        <f>IF(VLOOKUP($A36,[5]Offday!$A$2:$AK$18,MATCH(Planning!Y$23,[5]Offday!$A$2:$AO$2,0))=0,$E36,VLOOKUP($A36,[5]Offday!$A$2:$AK$18,MATCH(Planning!Y$23,[5]Offday!$A$2:$AO$2,0)))</f>
        <v>0.5</v>
      </c>
      <c r="Z36" s="401">
        <f>IF(VLOOKUP($A36,[5]Offday!$A$2:$AK$18,MATCH(Planning!Z$23,[5]Offday!$A$2:$AO$2,0))=0,$F36,VLOOKUP($A36,[5]Offday!$A$2:$AK$18,MATCH(Planning!Z$23,[5]Offday!$A$2:$AO$2,0)))</f>
        <v>0.375</v>
      </c>
      <c r="AA36" s="410">
        <f>IF(VLOOKUP($A36,[5]Offday!$A$2:$AK$18,MATCH(Planning!AA$23,[5]Offday!$A$2:$AO$2,0))=0,$F36,VLOOKUP($A36,[5]Offday!$A$2:$AK$18,MATCH(Planning!AA$23,[5]Offday!$A$2:$AO$2,0)))</f>
        <v>0.375</v>
      </c>
      <c r="AB36" s="401">
        <f>IF(VLOOKUP($A36,[5]Offday!$A$2:$AK$18,MATCH(Planning!AB$23,[5]Offday!$A$2:$AO$2,0))=0,$C36,VLOOKUP($A36,[5]Offday!$A$2:$AK$18,MATCH(Planning!AB$23,[5]Offday!$A$2:$AO$2,0)))</f>
        <v>0.5</v>
      </c>
      <c r="AC36" s="401">
        <f>IF(VLOOKUP($A36,[5]Offday!$A$2:$AK$18,MATCH(Planning!AC$23,[5]Offday!$A$2:$AO$2,0))=0,$C36,VLOOKUP($A36,[5]Offday!$A$2:$AK$18,MATCH(Planning!AC$23,[5]Offday!$A$2:$AO$2,0)))</f>
        <v>0.5</v>
      </c>
      <c r="AD36" s="401">
        <f>IF(VLOOKUP($A36,[5]Offday!$A$2:$AK$18,MATCH(Planning!AD$23,[5]Offday!$A$2:$AO$2,0))=0,$C36,VLOOKUP($A36,[5]Offday!$A$2:$AK$18,MATCH(Planning!AD$23,[5]Offday!$A$2:$AO$2,0)))</f>
        <v>0.5</v>
      </c>
      <c r="AE36" s="401">
        <f>IF(VLOOKUP($A36,[5]Offday!$A$2:$AK$18,MATCH(Planning!AE$23,[5]Offday!$A$2:$AO$2,0))=0,$E36,VLOOKUP($A36,[5]Offday!$A$2:$AK$18,MATCH(Planning!AE$23,[5]Offday!$A$2:$AO$2,0)))</f>
        <v>0.5</v>
      </c>
      <c r="AF36" s="401">
        <f>IF(VLOOKUP($A36,[5]Offday!$A$2:$AK$18,MATCH(Planning!AF$23,[5]Offday!$A$2:$AO$2,0))=0,$E36,VLOOKUP($A36,[5]Offday!$A$2:$AK$18,MATCH(Planning!AF$23,[5]Offday!$A$2:$AO$2,0)))</f>
        <v>0.5</v>
      </c>
      <c r="AG36" s="401">
        <f>IF(VLOOKUP($A36,[5]Offday!$A$2:$AK$18,MATCH(Planning!AG$23,[5]Offday!$A$2:$AO$2,0))=0,$F36,VLOOKUP($A36,[5]Offday!$A$2:$AK$18,MATCH(Planning!AG$23,[5]Offday!$A$2:$AO$2,0)))</f>
        <v>0.375</v>
      </c>
      <c r="AH36" s="410">
        <f>IF(VLOOKUP($A36,[5]Offday!$A$2:$AK$18,MATCH(Planning!AH$23,[5]Offday!$A$2:$AO$2,0))=0,$F36,VLOOKUP($A36,[5]Offday!$A$2:$AK$18,MATCH(Planning!AH$23,[5]Offday!$A$2:$AO$2,0)))</f>
        <v>0.375</v>
      </c>
      <c r="AI36" s="401">
        <f>IF(VLOOKUP($A36,[5]Offday!$A$2:$AK$18,MATCH(Planning!AI$23,[5]Offday!$A$2:$AO$2,0))=0,$C36,VLOOKUP($A36,[5]Offday!$A$2:$AK$18,MATCH(Planning!AI$23,[5]Offday!$A$2:$AO$2,0)))</f>
        <v>0.5</v>
      </c>
      <c r="AJ36" s="401">
        <f>IF(VLOOKUP($A36,[5]Offday!$A$2:$AK$18,MATCH(Planning!AJ$23,[5]Offday!$A$2:$AO$2,0))=0,$C36,VLOOKUP($A36,[5]Offday!$A$2:$AK$18,MATCH(Planning!AJ$23,[5]Offday!$A$2:$AO$2,0)))</f>
        <v>0.5</v>
      </c>
      <c r="AK36" s="401">
        <f>IF(VLOOKUP($A36,[5]Offday!$A$2:$AK$18,MATCH(Planning!AK$23,[5]Offday!$A$2:$AO$2,0))=0,$C36,VLOOKUP($A36,[5]Offday!$A$2:$AK$18,MATCH(Planning!AK$23,[5]Offday!$A$2:$AO$2,0)))</f>
        <v>0.5</v>
      </c>
      <c r="AL36" s="403">
        <f t="shared" si="4"/>
        <v>3</v>
      </c>
      <c r="AM36" s="404">
        <f t="shared" si="2"/>
        <v>1</v>
      </c>
      <c r="AN36" s="404">
        <f t="shared" si="3"/>
        <v>6</v>
      </c>
      <c r="AO36" s="405">
        <f t="shared" si="5"/>
        <v>4</v>
      </c>
    </row>
    <row r="37" spans="1:41" x14ac:dyDescent="0.25">
      <c r="A37" s="411">
        <v>14</v>
      </c>
      <c r="B37" s="398" t="str">
        <f>+[5]Offday!B16</f>
        <v>TENGUE Komlanvi Olivier</v>
      </c>
      <c r="C37" s="408">
        <f>+[5]Offday!C16</f>
        <v>0.5</v>
      </c>
      <c r="D37" s="408">
        <f>+[5]Offday!D16</f>
        <v>0.29166666666666669</v>
      </c>
      <c r="E37" s="408">
        <f>+[5]Offday!E16</f>
        <v>0.375</v>
      </c>
      <c r="F37" s="409">
        <f>+[5]Offday!F16</f>
        <v>0.29166666666666669</v>
      </c>
      <c r="G37" s="401" t="str">
        <f>IF(VLOOKUP($A37,[5]Offday!$A$2:$AK$18,MATCH(Planning!G$23,[5]Offday!$A$2:$AO$2,0))=0,$D37,VLOOKUP($A37,[5]Offday!$A$2:$AK$18,MATCH(Planning!G$23,[5]Offday!$A$2:$AO$2,0)))</f>
        <v>C</v>
      </c>
      <c r="H37" s="401" t="str">
        <f>IF(VLOOKUP($A37,[5]Offday!$A$2:$AK$18,MATCH(Planning!H$23,[5]Offday!$A$2:$AO$2,0))=0,$C37,VLOOKUP($A37,[5]Offday!$A$2:$AK$18,MATCH(Planning!H$23,[5]Offday!$A$2:$AO$2,0)))</f>
        <v>C</v>
      </c>
      <c r="I37" s="401" t="str">
        <f>IF(VLOOKUP($A37,[5]Offday!$A$2:$AK$18,MATCH(Planning!I$23,[5]Offday!$A$2:$AO$2,0))=0,$D37,VLOOKUP($A37,[5]Offday!$A$2:$AK$18,MATCH(Planning!I$23,[5]Offday!$A$2:$AO$2,0)))</f>
        <v>C</v>
      </c>
      <c r="J37" s="401" t="str">
        <f>IF(VLOOKUP($A37,[5]Offday!$A$2:$AK$18,MATCH(Planning!J$23,[5]Offday!$A$2:$AO$2,0))=0,$D37,VLOOKUP($A37,[5]Offday!$A$2:$AK$18,MATCH(Planning!J$23,[5]Offday!$A$2:$AO$2,0)))</f>
        <v>C</v>
      </c>
      <c r="K37" s="401" t="str">
        <f>IF(VLOOKUP($A37,[5]Offday!$A$2:$AK$18,MATCH(Planning!K$23,[5]Offday!$A$2:$AO$2,0))=0,$E37,VLOOKUP($A37,[5]Offday!$A$2:$AK$18,MATCH(Planning!K$23,[5]Offday!$A$2:$AO$2,0)))</f>
        <v>C</v>
      </c>
      <c r="L37" s="401" t="str">
        <f>IF(VLOOKUP($A37,[5]Offday!$A$2:$AK$18,MATCH(Planning!L$23,[5]Offday!$A$2:$AO$2,0))=0,$C37,VLOOKUP($A37,[5]Offday!$A$2:$AK$18,MATCH(Planning!L$23,[5]Offday!$A$2:$AO$2,0)))</f>
        <v>C</v>
      </c>
      <c r="M37" s="410" t="str">
        <f>IF(VLOOKUP($A37,[5]Offday!$A$2:$AK$18,MATCH(Planning!M$23,[5]Offday!$A$2:$AO$2,0))=0,$D37,VLOOKUP($A37,[5]Offday!$A$2:$AK$18,MATCH(Planning!M$23,[5]Offday!$A$2:$AO$2,0)))</f>
        <v>C</v>
      </c>
      <c r="N37" s="401">
        <f>IF(VLOOKUP($A37,[5]Offday!$A$2:$AK$18,MATCH(Planning!N$23,[5]Offday!$A$2:$AO$2,0))=0,$D37,VLOOKUP($A37,[5]Offday!$A$2:$AK$18,MATCH(Planning!N$23,[5]Offday!$A$2:$AO$2,0)))</f>
        <v>0.29166666666666669</v>
      </c>
      <c r="O37" s="401" t="str">
        <f>IF(VLOOKUP($A37,[5]Offday!$A$2:$AK$18,MATCH(Planning!O$23,[5]Offday!$A$2:$AO$2,0))=0,$C37,VLOOKUP($A37,[5]Offday!$A$2:$AK$18,MATCH(Planning!O$23,[5]Offday!$A$2:$AO$2,0)))</f>
        <v>O</v>
      </c>
      <c r="P37" s="401">
        <f>IF(VLOOKUP($A37,[5]Offday!$A$2:$AK$18,MATCH(Planning!P$23,[5]Offday!$A$2:$AO$2,0))=0,$C37,VLOOKUP($A37,[5]Offday!$A$2:$AK$18,MATCH(Planning!P$23,[5]Offday!$A$2:$AO$2,0)))</f>
        <v>0.5</v>
      </c>
      <c r="Q37" s="401" t="str">
        <f>IF(VLOOKUP($A37,[5]Offday!$A$2:$AK$18,MATCH(Planning!Q$23,[5]Offday!$A$2:$AO$2,0))=0,$E37,VLOOKUP($A37,[5]Offday!$A$2:$AK$18,MATCH(Planning!Q$23,[5]Offday!$A$2:$AO$2,0)))</f>
        <v>O</v>
      </c>
      <c r="R37" s="401">
        <f>IF(VLOOKUP($A37,[5]Offday!$A$2:$AK$18,MATCH(Planning!R$23,[5]Offday!$A$2:$AO$2,0))=0,$E37,VLOOKUP($A37,[5]Offday!$A$2:$AK$18,MATCH(Planning!R$23,[5]Offday!$A$2:$AO$2,0)))</f>
        <v>0.375</v>
      </c>
      <c r="S37" s="401">
        <f>IF(VLOOKUP($A37,[5]Offday!$A$2:$AK$18,MATCH(Planning!S$23,[5]Offday!$A$2:$AO$2,0))=0,$F37,VLOOKUP($A37,[5]Offday!$A$2:$AK$18,MATCH(Planning!S$23,[5]Offday!$A$2:$AO$2,0)))</f>
        <v>0.29166666666666669</v>
      </c>
      <c r="T37" s="410">
        <f>IF(VLOOKUP($A37,[5]Offday!$A$2:$AK$18,MATCH(Planning!T$23,[5]Offday!$A$2:$AO$2,0))=0,$F37,VLOOKUP($A37,[5]Offday!$A$2:$AK$18,MATCH(Planning!T$23,[5]Offday!$A$2:$AO$2,0)))</f>
        <v>0.29166666666666669</v>
      </c>
      <c r="U37" s="401">
        <f>IF(VLOOKUP($A37,[5]Offday!$A$2:$AK$18,MATCH(Planning!U$23,[5]Offday!$A$2:$AO$2,0))=0,$C37,VLOOKUP($A37,[5]Offday!$A$2:$AK$18,MATCH(Planning!U$23,[5]Offday!$A$2:$AO$2,0)))</f>
        <v>0.5</v>
      </c>
      <c r="V37" s="401">
        <f>IF(VLOOKUP($A37,[5]Offday!$A$2:$AK$18,MATCH(Planning!V$23,[5]Offday!$A$2:$AO$2,0))=0,$C37,VLOOKUP($A37,[5]Offday!$A$2:$AK$18,MATCH(Planning!V$23,[5]Offday!$A$2:$AO$2,0)))</f>
        <v>0.5</v>
      </c>
      <c r="W37" s="401">
        <f>IF(VLOOKUP($A37,[5]Offday!$A$2:$AK$18,MATCH(Planning!W$23,[5]Offday!$A$2:$AO$2,0))=0,$C37,VLOOKUP($A37,[5]Offday!$A$2:$AK$18,MATCH(Planning!W$23,[5]Offday!$A$2:$AO$2,0)))</f>
        <v>0.5</v>
      </c>
      <c r="X37" s="401">
        <f>IF(VLOOKUP($A37,[5]Offday!$A$2:$AK$18,MATCH(Planning!X$23,[5]Offday!$A$2:$AO$2,0))=0,$E37,VLOOKUP($A37,[5]Offday!$A$2:$AK$18,MATCH(Planning!X$23,[5]Offday!$A$2:$AO$2,0)))</f>
        <v>0.375</v>
      </c>
      <c r="Y37" s="401">
        <f>IF(VLOOKUP($A37,[5]Offday!$A$2:$AK$18,MATCH(Planning!Y$23,[5]Offday!$A$2:$AO$2,0))=0,$E37,VLOOKUP($A37,[5]Offday!$A$2:$AK$18,MATCH(Planning!Y$23,[5]Offday!$A$2:$AO$2,0)))</f>
        <v>0.375</v>
      </c>
      <c r="Z37" s="401">
        <f>IF(VLOOKUP($A37,[5]Offday!$A$2:$AK$18,MATCH(Planning!Z$23,[5]Offday!$A$2:$AO$2,0))=0,$F37,VLOOKUP($A37,[5]Offday!$A$2:$AK$18,MATCH(Planning!Z$23,[5]Offday!$A$2:$AO$2,0)))</f>
        <v>0.29166666666666669</v>
      </c>
      <c r="AA37" s="410">
        <f>IF(VLOOKUP($A37,[5]Offday!$A$2:$AK$18,MATCH(Planning!AA$23,[5]Offday!$A$2:$AO$2,0))=0,$F37,VLOOKUP($A37,[5]Offday!$A$2:$AK$18,MATCH(Planning!AA$23,[5]Offday!$A$2:$AO$2,0)))</f>
        <v>0.29166666666666669</v>
      </c>
      <c r="AB37" s="401">
        <f>IF(VLOOKUP($A37,[5]Offday!$A$2:$AK$18,MATCH(Planning!AB$23,[5]Offday!$A$2:$AO$2,0))=0,$C37,VLOOKUP($A37,[5]Offday!$A$2:$AK$18,MATCH(Planning!AB$23,[5]Offday!$A$2:$AO$2,0)))</f>
        <v>0.5</v>
      </c>
      <c r="AC37" s="401">
        <f>IF(VLOOKUP($A37,[5]Offday!$A$2:$AK$18,MATCH(Planning!AC$23,[5]Offday!$A$2:$AO$2,0))=0,$C37,VLOOKUP($A37,[5]Offday!$A$2:$AK$18,MATCH(Planning!AC$23,[5]Offday!$A$2:$AO$2,0)))</f>
        <v>0.5</v>
      </c>
      <c r="AD37" s="401">
        <f>IF(VLOOKUP($A37,[5]Offday!$A$2:$AK$18,MATCH(Planning!AD$23,[5]Offday!$A$2:$AO$2,0))=0,$C37,VLOOKUP($A37,[5]Offday!$A$2:$AK$18,MATCH(Planning!AD$23,[5]Offday!$A$2:$AO$2,0)))</f>
        <v>0.5</v>
      </c>
      <c r="AE37" s="401">
        <f>IF(VLOOKUP($A37,[5]Offday!$A$2:$AK$18,MATCH(Planning!AE$23,[5]Offday!$A$2:$AO$2,0))=0,$E37,VLOOKUP($A37,[5]Offday!$A$2:$AK$18,MATCH(Planning!AE$23,[5]Offday!$A$2:$AO$2,0)))</f>
        <v>0.375</v>
      </c>
      <c r="AF37" s="401">
        <f>IF(VLOOKUP($A37,[5]Offday!$A$2:$AK$18,MATCH(Planning!AF$23,[5]Offday!$A$2:$AO$2,0))=0,$E37,VLOOKUP($A37,[5]Offday!$A$2:$AK$18,MATCH(Planning!AF$23,[5]Offday!$A$2:$AO$2,0)))</f>
        <v>0.375</v>
      </c>
      <c r="AG37" s="401">
        <f>IF(VLOOKUP($A37,[5]Offday!$A$2:$AK$18,MATCH(Planning!AG$23,[5]Offday!$A$2:$AO$2,0))=0,$F37,VLOOKUP($A37,[5]Offday!$A$2:$AK$18,MATCH(Planning!AG$23,[5]Offday!$A$2:$AO$2,0)))</f>
        <v>0.29166666666666669</v>
      </c>
      <c r="AH37" s="410">
        <f>IF(VLOOKUP($A37,[5]Offday!$A$2:$AK$18,MATCH(Planning!AH$23,[5]Offday!$A$2:$AO$2,0))=0,$F37,VLOOKUP($A37,[5]Offday!$A$2:$AK$18,MATCH(Planning!AH$23,[5]Offday!$A$2:$AO$2,0)))</f>
        <v>0.29166666666666669</v>
      </c>
      <c r="AI37" s="401">
        <f>IF(VLOOKUP($A37,[5]Offday!$A$2:$AK$18,MATCH(Planning!AI$23,[5]Offday!$A$2:$AO$2,0))=0,$C37,VLOOKUP($A37,[5]Offday!$A$2:$AK$18,MATCH(Planning!AI$23,[5]Offday!$A$2:$AO$2,0)))</f>
        <v>0.5</v>
      </c>
      <c r="AJ37" s="401">
        <f>IF(VLOOKUP($A37,[5]Offday!$A$2:$AK$18,MATCH(Planning!AJ$23,[5]Offday!$A$2:$AO$2,0))=0,$C37,VLOOKUP($A37,[5]Offday!$A$2:$AK$18,MATCH(Planning!AJ$23,[5]Offday!$A$2:$AO$2,0)))</f>
        <v>0.5</v>
      </c>
      <c r="AK37" s="401">
        <f>IF(VLOOKUP($A37,[5]Offday!$A$2:$AK$18,MATCH(Planning!AK$23,[5]Offday!$A$2:$AO$2,0))=0,$C37,VLOOKUP($A37,[5]Offday!$A$2:$AK$18,MATCH(Planning!AK$23,[5]Offday!$A$2:$AO$2,0)))</f>
        <v>0.5</v>
      </c>
      <c r="AL37" s="403">
        <f t="shared" si="4"/>
        <v>3</v>
      </c>
      <c r="AM37" s="404">
        <f t="shared" si="2"/>
        <v>1</v>
      </c>
      <c r="AN37" s="404">
        <f t="shared" si="3"/>
        <v>1</v>
      </c>
      <c r="AO37" s="405">
        <f t="shared" si="5"/>
        <v>2</v>
      </c>
    </row>
    <row r="38" spans="1:41" ht="15.75" thickBot="1" x14ac:dyDescent="0.3">
      <c r="A38" s="411">
        <v>15</v>
      </c>
      <c r="B38" s="398" t="str">
        <f>+[5]Offday!B17</f>
        <v>AKPAKI A Natacha M L</v>
      </c>
      <c r="C38" s="408">
        <f>+[5]Offday!C17</f>
        <v>0.5</v>
      </c>
      <c r="D38" s="408">
        <f>+[5]Offday!D17</f>
        <v>0.29166666666666669</v>
      </c>
      <c r="E38" s="408">
        <f>+[5]Offday!E17</f>
        <v>0.5</v>
      </c>
      <c r="F38" s="409">
        <f>+[5]Offday!F17</f>
        <v>0.29166666666666669</v>
      </c>
      <c r="G38" s="412" t="str">
        <f>IF(VLOOKUP($A38,[5]Offday!$A$2:$AK$18,MATCH(Planning!G$23,[5]Offday!$A$2:$AO$2,0))=0,$D38,VLOOKUP($A38,[5]Offday!$A$2:$AK$18,MATCH(Planning!G$23,[5]Offday!$A$2:$AO$2,0)))</f>
        <v>BO</v>
      </c>
      <c r="H38" s="412" t="str">
        <f>IF(VLOOKUP($A38,[5]Offday!$A$2:$AK$18,MATCH(Planning!H$23,[5]Offday!$A$2:$AO$2,0))=0,$C38,VLOOKUP($A38,[5]Offday!$A$2:$AK$18,MATCH(Planning!H$23,[5]Offday!$A$2:$AO$2,0)))</f>
        <v>BO</v>
      </c>
      <c r="I38" s="412" t="str">
        <f>IF(VLOOKUP($A38,[5]Offday!$A$2:$AK$18,MATCH(Planning!I$23,[5]Offday!$A$2:$AO$2,0))=0,$D38,VLOOKUP($A38,[5]Offday!$A$2:$AK$18,MATCH(Planning!I$23,[5]Offday!$A$2:$AO$2,0)))</f>
        <v>BO</v>
      </c>
      <c r="J38" s="412" t="str">
        <f>IF(VLOOKUP($A38,[5]Offday!$A$2:$AK$18,MATCH(Planning!J$23,[5]Offday!$A$2:$AO$2,0))=0,$D38,VLOOKUP($A38,[5]Offday!$A$2:$AK$18,MATCH(Planning!J$23,[5]Offday!$A$2:$AO$2,0)))</f>
        <v>BO</v>
      </c>
      <c r="K38" s="412" t="str">
        <f>IF(VLOOKUP($A38,[5]Offday!$A$2:$AK$18,MATCH(Planning!K$23,[5]Offday!$A$2:$AO$2,0))=0,$E38,VLOOKUP($A38,[5]Offday!$A$2:$AK$18,MATCH(Planning!K$23,[5]Offday!$A$2:$AO$2,0)))</f>
        <v>BO</v>
      </c>
      <c r="L38" s="412" t="str">
        <f>IF(VLOOKUP($A38,[5]Offday!$A$2:$AK$18,MATCH(Planning!L$23,[5]Offday!$A$2:$AO$2,0))=0,$C38,VLOOKUP($A38,[5]Offday!$A$2:$AK$18,MATCH(Planning!L$23,[5]Offday!$A$2:$AO$2,0)))</f>
        <v>BO</v>
      </c>
      <c r="M38" s="413" t="str">
        <f>IF(VLOOKUP($A38,[5]Offday!$A$2:$AK$18,MATCH(Planning!M$23,[5]Offday!$A$2:$AO$2,0))=0,$D38,VLOOKUP($A38,[5]Offday!$A$2:$AK$18,MATCH(Planning!M$23,[5]Offday!$A$2:$AO$2,0)))</f>
        <v>BO</v>
      </c>
      <c r="N38" s="401">
        <f>IF(VLOOKUP($A38,[5]Offday!$A$2:$AK$18,MATCH(Planning!N$23,[5]Offday!$A$2:$AO$2,0))=0,$D38,VLOOKUP($A38,[5]Offday!$A$2:$AK$18,MATCH(Planning!N$23,[5]Offday!$A$2:$AO$2,0)))</f>
        <v>0.29166666666666669</v>
      </c>
      <c r="O38" s="401">
        <f>IF(VLOOKUP($A38,[5]Offday!$A$2:$AK$18,MATCH(Planning!O$23,[5]Offday!$A$2:$AO$2,0))=0,$D38,VLOOKUP($A38,[5]Offday!$A$2:$AK$18,MATCH(Planning!O$23,[5]Offday!$A$2:$AO$2,0)))</f>
        <v>0.29166666666666669</v>
      </c>
      <c r="P38" s="401">
        <f>IF(VLOOKUP($A38,[5]Offday!$A$2:$AK$18,MATCH(Planning!P$23,[5]Offday!$A$2:$AO$2,0))=0,$C38,VLOOKUP($A38,[5]Offday!$A$2:$AK$18,MATCH(Planning!P$23,[5]Offday!$A$2:$AO$2,0)))</f>
        <v>0.5</v>
      </c>
      <c r="Q38" s="401">
        <f>IF(VLOOKUP($A38,[5]Offday!$A$2:$AK$18,MATCH(Planning!Q$23,[5]Offday!$A$2:$AO$2,0))=0,$E38,VLOOKUP($A38,[5]Offday!$A$2:$AK$18,MATCH(Planning!Q$23,[5]Offday!$A$2:$AO$2,0)))</f>
        <v>0.5</v>
      </c>
      <c r="R38" s="401">
        <f>IF(VLOOKUP($A38,[5]Offday!$A$2:$AK$18,MATCH(Planning!R$23,[5]Offday!$A$2:$AO$2,0))=0,$E38,VLOOKUP($A38,[5]Offday!$A$2:$AK$18,MATCH(Planning!R$23,[5]Offday!$A$2:$AO$2,0)))</f>
        <v>0.5</v>
      </c>
      <c r="S38" s="401" t="str">
        <f>IF(VLOOKUP($A38,[5]Offday!$A$2:$AK$18,MATCH(Planning!S$23,[5]Offday!$A$2:$AO$2,0))=0,$F38,VLOOKUP($A38,[5]Offday!$A$2:$AK$18,MATCH(Planning!S$23,[5]Offday!$A$2:$AO$2,0)))</f>
        <v>O</v>
      </c>
      <c r="T38" s="410" t="str">
        <f>IF(VLOOKUP($A38,[5]Offday!$A$2:$AK$18,MATCH(Planning!T$23,[5]Offday!$A$2:$AO$2,0))=0,$F38,VLOOKUP($A38,[5]Offday!$A$2:$AK$18,MATCH(Planning!T$23,[5]Offday!$A$2:$AO$2,0)))</f>
        <v>O</v>
      </c>
      <c r="U38" s="401">
        <f>IF(VLOOKUP($A38,[5]Offday!$A$2:$AK$18,MATCH(Planning!U$23,[5]Offday!$A$2:$AO$2,0))=0,$C38,VLOOKUP($A38,[5]Offday!$A$2:$AK$18,MATCH(Planning!U$23,[5]Offday!$A$2:$AO$2,0)))</f>
        <v>0.5</v>
      </c>
      <c r="V38" s="401">
        <f>IF(VLOOKUP($A38,[5]Offday!$A$2:$AK$18,MATCH(Planning!V$23,[5]Offday!$A$2:$AO$2,0))=0,$C38,VLOOKUP($A38,[5]Offday!$A$2:$AK$18,MATCH(Planning!V$23,[5]Offday!$A$2:$AO$2,0)))</f>
        <v>0.5</v>
      </c>
      <c r="W38" s="401">
        <f>IF(VLOOKUP($A38,[5]Offday!$A$2:$AK$18,MATCH(Planning!W$23,[5]Offday!$A$2:$AO$2,0))=0,$C38,VLOOKUP($A38,[5]Offday!$A$2:$AK$18,MATCH(Planning!W$23,[5]Offday!$A$2:$AO$2,0)))</f>
        <v>0.5</v>
      </c>
      <c r="X38" s="401">
        <f>IF(VLOOKUP($A38,[5]Offday!$A$2:$AK$18,MATCH(Planning!X$23,[5]Offday!$A$2:$AO$2,0))=0,$E38,VLOOKUP($A38,[5]Offday!$A$2:$AK$18,MATCH(Planning!X$23,[5]Offday!$A$2:$AO$2,0)))</f>
        <v>0.5</v>
      </c>
      <c r="Y38" s="401">
        <f>IF(VLOOKUP($A38,[5]Offday!$A$2:$AK$18,MATCH(Planning!Y$23,[5]Offday!$A$2:$AO$2,0))=0,$E38,VLOOKUP($A38,[5]Offday!$A$2:$AK$18,MATCH(Planning!Y$23,[5]Offday!$A$2:$AO$2,0)))</f>
        <v>0.5</v>
      </c>
      <c r="Z38" s="401">
        <f>IF(VLOOKUP($A38,[5]Offday!$A$2:$AK$18,MATCH(Planning!Z$23,[5]Offday!$A$2:$AO$2,0))=0,$F38,VLOOKUP($A38,[5]Offday!$A$2:$AK$18,MATCH(Planning!Z$23,[5]Offday!$A$2:$AO$2,0)))</f>
        <v>0.29166666666666669</v>
      </c>
      <c r="AA38" s="410">
        <f>IF(VLOOKUP($A38,[5]Offday!$A$2:$AK$18,MATCH(Planning!AA$23,[5]Offday!$A$2:$AO$2,0))=0,$F38,VLOOKUP($A38,[5]Offday!$A$2:$AK$18,MATCH(Planning!AA$23,[5]Offday!$A$2:$AO$2,0)))</f>
        <v>0.29166666666666669</v>
      </c>
      <c r="AB38" s="401">
        <f>IF(VLOOKUP($A38,[5]Offday!$A$2:$AK$18,MATCH(Planning!AB$23,[5]Offday!$A$2:$AO$2,0))=0,$C38,VLOOKUP($A38,[5]Offday!$A$2:$AK$18,MATCH(Planning!AB$23,[5]Offday!$A$2:$AO$2,0)))</f>
        <v>0.5</v>
      </c>
      <c r="AC38" s="401">
        <f>IF(VLOOKUP($A38,[5]Offday!$A$2:$AK$18,MATCH(Planning!AC$23,[5]Offday!$A$2:$AO$2,0))=0,$C38,VLOOKUP($A38,[5]Offday!$A$2:$AK$18,MATCH(Planning!AC$23,[5]Offday!$A$2:$AO$2,0)))</f>
        <v>0.5</v>
      </c>
      <c r="AD38" s="401">
        <f>IF(VLOOKUP($A38,[5]Offday!$A$2:$AK$18,MATCH(Planning!AD$23,[5]Offday!$A$2:$AO$2,0))=0,$C38,VLOOKUP($A38,[5]Offday!$A$2:$AK$18,MATCH(Planning!AD$23,[5]Offday!$A$2:$AO$2,0)))</f>
        <v>0.5</v>
      </c>
      <c r="AE38" s="401">
        <f>IF(VLOOKUP($A38,[5]Offday!$A$2:$AK$18,MATCH(Planning!AE$23,[5]Offday!$A$2:$AO$2,0))=0,$E38,VLOOKUP($A38,[5]Offday!$A$2:$AK$18,MATCH(Planning!AE$23,[5]Offday!$A$2:$AO$2,0)))</f>
        <v>0.5</v>
      </c>
      <c r="AF38" s="401">
        <f>IF(VLOOKUP($A38,[5]Offday!$A$2:$AK$18,MATCH(Planning!AF$23,[5]Offday!$A$2:$AO$2,0))=0,$E38,VLOOKUP($A38,[5]Offday!$A$2:$AK$18,MATCH(Planning!AF$23,[5]Offday!$A$2:$AO$2,0)))</f>
        <v>0.5</v>
      </c>
      <c r="AG38" s="401">
        <f>IF(VLOOKUP($A38,[5]Offday!$A$2:$AK$18,MATCH(Planning!AG$23,[5]Offday!$A$2:$AO$2,0))=0,$F38,VLOOKUP($A38,[5]Offday!$A$2:$AK$18,MATCH(Planning!AG$23,[5]Offday!$A$2:$AO$2,0)))</f>
        <v>0.29166666666666669</v>
      </c>
      <c r="AH38" s="410">
        <f>IF(VLOOKUP($A38,[5]Offday!$A$2:$AK$18,MATCH(Planning!AH$23,[5]Offday!$A$2:$AO$2,0))=0,$F38,VLOOKUP($A38,[5]Offday!$A$2:$AK$18,MATCH(Planning!AH$23,[5]Offday!$A$2:$AO$2,0)))</f>
        <v>0.29166666666666669</v>
      </c>
      <c r="AI38" s="401">
        <f>IF(VLOOKUP($A38,[5]Offday!$A$2:$AK$18,MATCH(Planning!AI$23,[5]Offday!$A$2:$AO$2,0))=0,$C38,VLOOKUP($A38,[5]Offday!$A$2:$AK$18,MATCH(Planning!AI$23,[5]Offday!$A$2:$AO$2,0)))</f>
        <v>0.5</v>
      </c>
      <c r="AJ38" s="401">
        <f>IF(VLOOKUP($A38,[5]Offday!$A$2:$AK$18,MATCH(Planning!AJ$23,[5]Offday!$A$2:$AO$2,0))=0,$C38,VLOOKUP($A38,[5]Offday!$A$2:$AK$18,MATCH(Planning!AJ$23,[5]Offday!$A$2:$AO$2,0)))</f>
        <v>0.5</v>
      </c>
      <c r="AK38" s="401">
        <f>IF(VLOOKUP($A38,[5]Offday!$A$2:$AK$18,MATCH(Planning!AK$23,[5]Offday!$A$2:$AO$2,0))=0,$C38,VLOOKUP($A38,[5]Offday!$A$2:$AK$18,MATCH(Planning!AK$23,[5]Offday!$A$2:$AO$2,0)))</f>
        <v>0.5</v>
      </c>
      <c r="AL38" s="403">
        <f t="shared" si="4"/>
        <v>2</v>
      </c>
      <c r="AM38" s="404">
        <f t="shared" si="2"/>
        <v>0</v>
      </c>
      <c r="AN38" s="404">
        <f t="shared" si="3"/>
        <v>3</v>
      </c>
      <c r="AO38" s="405">
        <f t="shared" si="5"/>
        <v>2</v>
      </c>
    </row>
    <row r="39" spans="1:41" ht="15.75" hidden="1" thickBot="1" x14ac:dyDescent="0.3">
      <c r="A39" s="414">
        <v>65</v>
      </c>
      <c r="B39" s="415"/>
      <c r="C39" s="408"/>
      <c r="D39" s="408"/>
      <c r="E39" s="408"/>
      <c r="F39" s="416"/>
      <c r="G39" s="417"/>
      <c r="H39" s="415"/>
      <c r="I39" s="415"/>
      <c r="J39" s="415"/>
      <c r="K39" s="415"/>
      <c r="L39" s="415"/>
      <c r="M39" s="418"/>
      <c r="N39" s="417"/>
      <c r="O39" s="415"/>
      <c r="P39" s="415"/>
      <c r="Q39" s="415"/>
      <c r="R39" s="415"/>
      <c r="S39" s="415"/>
      <c r="T39" s="418"/>
      <c r="U39" s="417"/>
      <c r="V39" s="415"/>
      <c r="W39" s="415"/>
      <c r="X39" s="415"/>
      <c r="Y39" s="415"/>
      <c r="Z39" s="415"/>
      <c r="AA39" s="418"/>
      <c r="AB39" s="417"/>
      <c r="AC39" s="415"/>
      <c r="AD39" s="415"/>
      <c r="AE39" s="415"/>
      <c r="AF39" s="415"/>
      <c r="AG39" s="415"/>
      <c r="AH39" s="418"/>
      <c r="AI39" s="419"/>
      <c r="AJ39" s="415"/>
      <c r="AK39" s="420"/>
      <c r="AL39" s="419"/>
      <c r="AM39" s="415"/>
      <c r="AN39" s="415"/>
      <c r="AO39" s="415"/>
    </row>
    <row r="40" spans="1:41" ht="15.75" hidden="1" thickBot="1" x14ac:dyDescent="0.3">
      <c r="A40" s="414">
        <v>66</v>
      </c>
      <c r="B40" s="415"/>
      <c r="C40" s="408"/>
      <c r="D40" s="408"/>
      <c r="E40" s="408"/>
      <c r="F40" s="416"/>
      <c r="G40" s="417"/>
      <c r="H40" s="415"/>
      <c r="I40" s="415"/>
      <c r="J40" s="415"/>
      <c r="K40" s="415"/>
      <c r="L40" s="415"/>
      <c r="M40" s="418"/>
      <c r="N40" s="417"/>
      <c r="O40" s="415"/>
      <c r="P40" s="415"/>
      <c r="Q40" s="415"/>
      <c r="R40" s="415"/>
      <c r="S40" s="415"/>
      <c r="T40" s="418"/>
      <c r="U40" s="417"/>
      <c r="V40" s="415"/>
      <c r="W40" s="415"/>
      <c r="X40" s="415"/>
      <c r="Y40" s="415"/>
      <c r="Z40" s="415"/>
      <c r="AA40" s="418"/>
      <c r="AB40" s="417"/>
      <c r="AC40" s="415"/>
      <c r="AD40" s="415"/>
      <c r="AE40" s="415"/>
      <c r="AF40" s="415"/>
      <c r="AG40" s="415"/>
      <c r="AH40" s="418"/>
      <c r="AI40" s="419"/>
      <c r="AJ40" s="415"/>
      <c r="AK40" s="420"/>
      <c r="AL40" s="419"/>
      <c r="AM40" s="415"/>
      <c r="AN40" s="415"/>
      <c r="AO40" s="415"/>
    </row>
    <row r="41" spans="1:41" ht="15.75" hidden="1" thickBot="1" x14ac:dyDescent="0.3">
      <c r="A41" s="414">
        <v>67</v>
      </c>
      <c r="B41" s="415"/>
      <c r="C41" s="408"/>
      <c r="D41" s="408"/>
      <c r="E41" s="408"/>
      <c r="F41" s="416"/>
      <c r="G41" s="417"/>
      <c r="H41" s="415"/>
      <c r="I41" s="415"/>
      <c r="J41" s="415"/>
      <c r="K41" s="415"/>
      <c r="L41" s="415"/>
      <c r="M41" s="418"/>
      <c r="N41" s="417"/>
      <c r="O41" s="415"/>
      <c r="P41" s="415"/>
      <c r="Q41" s="415"/>
      <c r="R41" s="415"/>
      <c r="S41" s="415"/>
      <c r="T41" s="418"/>
      <c r="U41" s="417"/>
      <c r="V41" s="415"/>
      <c r="W41" s="415"/>
      <c r="X41" s="415"/>
      <c r="Y41" s="415"/>
      <c r="Z41" s="415"/>
      <c r="AA41" s="418"/>
      <c r="AB41" s="417"/>
      <c r="AC41" s="415"/>
      <c r="AD41" s="415"/>
      <c r="AE41" s="415"/>
      <c r="AF41" s="415"/>
      <c r="AG41" s="415"/>
      <c r="AH41" s="418"/>
      <c r="AI41" s="419"/>
      <c r="AJ41" s="415"/>
      <c r="AK41" s="420"/>
      <c r="AL41" s="419"/>
      <c r="AM41" s="415"/>
      <c r="AN41" s="415"/>
      <c r="AO41" s="415"/>
    </row>
    <row r="42" spans="1:41" ht="15.75" hidden="1" thickBot="1" x14ac:dyDescent="0.3">
      <c r="A42" s="414">
        <v>68</v>
      </c>
      <c r="B42" s="415"/>
      <c r="C42" s="408"/>
      <c r="D42" s="408"/>
      <c r="E42" s="408"/>
      <c r="F42" s="416"/>
      <c r="G42" s="417"/>
      <c r="H42" s="415"/>
      <c r="I42" s="415"/>
      <c r="J42" s="415"/>
      <c r="K42" s="415"/>
      <c r="L42" s="415"/>
      <c r="M42" s="418"/>
      <c r="N42" s="417"/>
      <c r="O42" s="415"/>
      <c r="P42" s="415"/>
      <c r="Q42" s="415"/>
      <c r="R42" s="415"/>
      <c r="S42" s="415"/>
      <c r="T42" s="418"/>
      <c r="U42" s="417"/>
      <c r="V42" s="415"/>
      <c r="W42" s="415"/>
      <c r="X42" s="415"/>
      <c r="Y42" s="415"/>
      <c r="Z42" s="415"/>
      <c r="AA42" s="418"/>
      <c r="AB42" s="417"/>
      <c r="AC42" s="415"/>
      <c r="AD42" s="415"/>
      <c r="AE42" s="415"/>
      <c r="AF42" s="415"/>
      <c r="AG42" s="415"/>
      <c r="AH42" s="418"/>
      <c r="AI42" s="419"/>
      <c r="AJ42" s="415"/>
      <c r="AK42" s="420"/>
      <c r="AL42" s="419"/>
      <c r="AM42" s="415"/>
      <c r="AN42" s="415"/>
      <c r="AO42" s="415"/>
    </row>
    <row r="43" spans="1:41" ht="15.75" hidden="1" thickBot="1" x14ac:dyDescent="0.3">
      <c r="A43" s="414">
        <v>69</v>
      </c>
      <c r="B43" s="415"/>
      <c r="C43" s="408"/>
      <c r="D43" s="408"/>
      <c r="E43" s="408"/>
      <c r="F43" s="416"/>
      <c r="G43" s="417"/>
      <c r="H43" s="415"/>
      <c r="I43" s="415"/>
      <c r="J43" s="415"/>
      <c r="K43" s="415"/>
      <c r="L43" s="415"/>
      <c r="M43" s="418"/>
      <c r="N43" s="417"/>
      <c r="O43" s="415"/>
      <c r="P43" s="415"/>
      <c r="Q43" s="415"/>
      <c r="R43" s="415"/>
      <c r="S43" s="415"/>
      <c r="T43" s="418"/>
      <c r="U43" s="417"/>
      <c r="V43" s="415"/>
      <c r="W43" s="415"/>
      <c r="X43" s="415"/>
      <c r="Y43" s="415"/>
      <c r="Z43" s="415"/>
      <c r="AA43" s="418"/>
      <c r="AB43" s="417"/>
      <c r="AC43" s="415"/>
      <c r="AD43" s="415"/>
      <c r="AE43" s="415"/>
      <c r="AF43" s="415"/>
      <c r="AG43" s="415"/>
      <c r="AH43" s="418"/>
      <c r="AI43" s="419"/>
      <c r="AJ43" s="415"/>
      <c r="AK43" s="420"/>
      <c r="AL43" s="419"/>
      <c r="AM43" s="415"/>
      <c r="AN43" s="415"/>
      <c r="AO43" s="415"/>
    </row>
    <row r="44" spans="1:41" ht="15.75" hidden="1" thickBot="1" x14ac:dyDescent="0.3">
      <c r="A44" s="414">
        <v>70</v>
      </c>
      <c r="B44" s="415"/>
      <c r="C44" s="408"/>
      <c r="D44" s="408"/>
      <c r="E44" s="408"/>
      <c r="F44" s="416"/>
      <c r="G44" s="417"/>
      <c r="H44" s="415"/>
      <c r="I44" s="415"/>
      <c r="J44" s="415"/>
      <c r="K44" s="415"/>
      <c r="L44" s="415"/>
      <c r="M44" s="418"/>
      <c r="N44" s="417"/>
      <c r="O44" s="415"/>
      <c r="P44" s="415"/>
      <c r="Q44" s="415"/>
      <c r="R44" s="415"/>
      <c r="S44" s="415"/>
      <c r="T44" s="418"/>
      <c r="U44" s="417"/>
      <c r="V44" s="415"/>
      <c r="W44" s="415"/>
      <c r="X44" s="415"/>
      <c r="Y44" s="415"/>
      <c r="Z44" s="415"/>
      <c r="AA44" s="418"/>
      <c r="AB44" s="417"/>
      <c r="AC44" s="415"/>
      <c r="AD44" s="415"/>
      <c r="AE44" s="415"/>
      <c r="AF44" s="415"/>
      <c r="AG44" s="415"/>
      <c r="AH44" s="418"/>
      <c r="AI44" s="419"/>
      <c r="AJ44" s="415"/>
      <c r="AK44" s="420"/>
      <c r="AL44" s="419"/>
      <c r="AM44" s="415"/>
      <c r="AN44" s="415"/>
      <c r="AO44" s="415"/>
    </row>
    <row r="45" spans="1:41" ht="15.75" hidden="1" thickBot="1" x14ac:dyDescent="0.3">
      <c r="A45" s="414">
        <v>71</v>
      </c>
      <c r="B45" s="415"/>
      <c r="C45" s="408"/>
      <c r="D45" s="408"/>
      <c r="E45" s="408"/>
      <c r="F45" s="416"/>
      <c r="G45" s="417"/>
      <c r="H45" s="415"/>
      <c r="I45" s="415"/>
      <c r="J45" s="415"/>
      <c r="K45" s="415"/>
      <c r="L45" s="415"/>
      <c r="M45" s="418"/>
      <c r="N45" s="417"/>
      <c r="O45" s="415"/>
      <c r="P45" s="415"/>
      <c r="Q45" s="415"/>
      <c r="R45" s="415"/>
      <c r="S45" s="415"/>
      <c r="T45" s="418"/>
      <c r="U45" s="417"/>
      <c r="V45" s="415"/>
      <c r="W45" s="415"/>
      <c r="X45" s="415"/>
      <c r="Y45" s="415"/>
      <c r="Z45" s="415"/>
      <c r="AA45" s="418"/>
      <c r="AB45" s="417"/>
      <c r="AC45" s="415"/>
      <c r="AD45" s="415"/>
      <c r="AE45" s="415"/>
      <c r="AF45" s="415"/>
      <c r="AG45" s="415"/>
      <c r="AH45" s="418"/>
      <c r="AI45" s="419"/>
      <c r="AJ45" s="415"/>
      <c r="AK45" s="420"/>
      <c r="AL45" s="419"/>
      <c r="AM45" s="415"/>
      <c r="AN45" s="415"/>
      <c r="AO45" s="415"/>
    </row>
    <row r="46" spans="1:41" ht="15.75" hidden="1" thickBot="1" x14ac:dyDescent="0.3">
      <c r="A46" s="414">
        <v>72</v>
      </c>
      <c r="B46" s="415"/>
      <c r="C46" s="408"/>
      <c r="D46" s="408"/>
      <c r="E46" s="408"/>
      <c r="F46" s="416"/>
      <c r="G46" s="417"/>
      <c r="H46" s="415"/>
      <c r="I46" s="415"/>
      <c r="J46" s="415"/>
      <c r="K46" s="415"/>
      <c r="L46" s="415"/>
      <c r="M46" s="418"/>
      <c r="N46" s="417"/>
      <c r="O46" s="415"/>
      <c r="P46" s="415"/>
      <c r="Q46" s="415"/>
      <c r="R46" s="415"/>
      <c r="S46" s="415"/>
      <c r="T46" s="418"/>
      <c r="U46" s="417"/>
      <c r="V46" s="415"/>
      <c r="W46" s="415"/>
      <c r="X46" s="415"/>
      <c r="Y46" s="415"/>
      <c r="Z46" s="415"/>
      <c r="AA46" s="418"/>
      <c r="AB46" s="417"/>
      <c r="AC46" s="415"/>
      <c r="AD46" s="415"/>
      <c r="AE46" s="415"/>
      <c r="AF46" s="415"/>
      <c r="AG46" s="415"/>
      <c r="AH46" s="418"/>
      <c r="AI46" s="419"/>
      <c r="AJ46" s="415"/>
      <c r="AK46" s="420"/>
      <c r="AL46" s="419"/>
      <c r="AM46" s="415"/>
      <c r="AN46" s="415"/>
      <c r="AO46" s="415"/>
    </row>
    <row r="47" spans="1:41" ht="15.75" hidden="1" thickBot="1" x14ac:dyDescent="0.3">
      <c r="A47" s="414">
        <v>73</v>
      </c>
      <c r="B47" s="415"/>
      <c r="C47" s="408"/>
      <c r="D47" s="408"/>
      <c r="E47" s="408"/>
      <c r="F47" s="416"/>
      <c r="G47" s="417"/>
      <c r="H47" s="415"/>
      <c r="I47" s="415"/>
      <c r="J47" s="415"/>
      <c r="K47" s="415"/>
      <c r="L47" s="415"/>
      <c r="M47" s="418"/>
      <c r="N47" s="417"/>
      <c r="O47" s="415"/>
      <c r="P47" s="415"/>
      <c r="Q47" s="415"/>
      <c r="R47" s="415"/>
      <c r="S47" s="415"/>
      <c r="T47" s="418"/>
      <c r="U47" s="417"/>
      <c r="V47" s="415"/>
      <c r="W47" s="415"/>
      <c r="X47" s="415"/>
      <c r="Y47" s="415"/>
      <c r="Z47" s="415"/>
      <c r="AA47" s="418"/>
      <c r="AB47" s="417"/>
      <c r="AC47" s="415"/>
      <c r="AD47" s="415"/>
      <c r="AE47" s="415"/>
      <c r="AF47" s="415"/>
      <c r="AG47" s="415"/>
      <c r="AH47" s="418"/>
      <c r="AI47" s="419"/>
      <c r="AJ47" s="415"/>
      <c r="AK47" s="420"/>
      <c r="AL47" s="419"/>
      <c r="AM47" s="415"/>
      <c r="AN47" s="415"/>
      <c r="AO47" s="415"/>
    </row>
    <row r="48" spans="1:41" ht="15.75" hidden="1" thickBot="1" x14ac:dyDescent="0.3">
      <c r="A48" s="421">
        <v>74</v>
      </c>
      <c r="B48" s="422"/>
      <c r="C48" s="423"/>
      <c r="D48" s="423"/>
      <c r="E48" s="423"/>
      <c r="F48" s="424"/>
      <c r="G48" s="425"/>
      <c r="H48" s="422"/>
      <c r="I48" s="422"/>
      <c r="J48" s="422"/>
      <c r="K48" s="422"/>
      <c r="L48" s="422"/>
      <c r="M48" s="426"/>
      <c r="N48" s="425"/>
      <c r="O48" s="422"/>
      <c r="P48" s="422"/>
      <c r="Q48" s="422"/>
      <c r="R48" s="422"/>
      <c r="S48" s="422"/>
      <c r="T48" s="426"/>
      <c r="U48" s="425"/>
      <c r="V48" s="422"/>
      <c r="W48" s="422"/>
      <c r="X48" s="422"/>
      <c r="Y48" s="422"/>
      <c r="Z48" s="422"/>
      <c r="AA48" s="426"/>
      <c r="AB48" s="425"/>
      <c r="AC48" s="422"/>
      <c r="AD48" s="422"/>
      <c r="AE48" s="422"/>
      <c r="AF48" s="422"/>
      <c r="AG48" s="422"/>
      <c r="AH48" s="426"/>
      <c r="AI48" s="425"/>
      <c r="AJ48" s="422"/>
      <c r="AK48" s="427"/>
      <c r="AL48" s="428"/>
      <c r="AM48" s="422"/>
      <c r="AN48" s="422"/>
      <c r="AO48" s="422"/>
    </row>
    <row r="49" spans="1:41" ht="15.75" thickTop="1" x14ac:dyDescent="0.25">
      <c r="A49" s="429"/>
      <c r="B49" s="430"/>
      <c r="C49" s="430"/>
      <c r="D49" s="430"/>
      <c r="E49" s="430"/>
      <c r="F49" s="430"/>
      <c r="G49" s="430"/>
      <c r="H49" s="429"/>
      <c r="I49" s="429"/>
      <c r="J49" s="429"/>
      <c r="K49" s="429"/>
      <c r="L49" s="429"/>
      <c r="M49" s="429"/>
      <c r="N49" s="429"/>
      <c r="O49" s="429"/>
      <c r="P49" s="429"/>
      <c r="Q49" s="429"/>
      <c r="R49" s="429"/>
      <c r="S49" s="429"/>
      <c r="T49" s="429"/>
      <c r="U49" s="429"/>
      <c r="V49" s="429"/>
      <c r="W49" s="429"/>
      <c r="X49" s="429"/>
      <c r="Y49" s="429"/>
      <c r="Z49" s="429"/>
      <c r="AA49" s="429"/>
      <c r="AB49" s="429"/>
      <c r="AC49" s="429"/>
      <c r="AD49" s="429"/>
      <c r="AE49" s="429"/>
      <c r="AF49" s="429"/>
      <c r="AG49" s="429"/>
      <c r="AH49" s="429"/>
      <c r="AI49" s="429"/>
      <c r="AJ49" s="429"/>
      <c r="AK49" s="429"/>
      <c r="AL49" s="429"/>
      <c r="AM49" s="429"/>
      <c r="AN49" s="429"/>
      <c r="AO49" s="429"/>
    </row>
    <row r="50" spans="1:41" x14ac:dyDescent="0.25">
      <c r="A50"/>
      <c r="B50"/>
      <c r="G50" s="352"/>
      <c r="K50"/>
    </row>
    <row r="51" spans="1:41" x14ac:dyDescent="0.25">
      <c r="A51"/>
      <c r="B51"/>
    </row>
    <row r="52" spans="1:41" ht="15.75" thickBot="1" x14ac:dyDescent="0.3">
      <c r="A52"/>
      <c r="B52"/>
    </row>
    <row r="53" spans="1:41" ht="19.5" thickTop="1" x14ac:dyDescent="0.3">
      <c r="A53" s="431"/>
      <c r="B53" s="432" t="s">
        <v>59</v>
      </c>
      <c r="C53" s="433"/>
      <c r="D53" s="433"/>
      <c r="E53" s="433"/>
      <c r="F53" s="434"/>
      <c r="G53" s="435" t="s">
        <v>60</v>
      </c>
      <c r="H53" s="436" t="s">
        <v>60</v>
      </c>
      <c r="I53" s="436" t="s">
        <v>60</v>
      </c>
      <c r="J53" s="436" t="s">
        <v>60</v>
      </c>
      <c r="K53" s="436" t="s">
        <v>60</v>
      </c>
      <c r="L53" s="436" t="s">
        <v>60</v>
      </c>
      <c r="M53" s="436" t="s">
        <v>60</v>
      </c>
      <c r="N53" s="436" t="s">
        <v>60</v>
      </c>
      <c r="O53" s="436" t="s">
        <v>60</v>
      </c>
      <c r="P53" s="436" t="s">
        <v>60</v>
      </c>
      <c r="Q53" s="436" t="s">
        <v>60</v>
      </c>
      <c r="R53" s="436" t="s">
        <v>60</v>
      </c>
      <c r="S53" s="436" t="s">
        <v>60</v>
      </c>
      <c r="T53" s="436" t="s">
        <v>60</v>
      </c>
      <c r="U53" s="436"/>
      <c r="V53" s="436"/>
      <c r="W53" s="436"/>
      <c r="X53" s="436"/>
      <c r="Y53" s="436"/>
      <c r="Z53" s="436"/>
      <c r="AA53" s="436"/>
      <c r="AB53" s="436"/>
      <c r="AC53" s="436"/>
      <c r="AD53" s="436"/>
      <c r="AE53" s="436"/>
      <c r="AF53" s="436"/>
      <c r="AG53" s="436"/>
      <c r="AH53" s="436"/>
      <c r="AI53" s="436"/>
      <c r="AJ53" s="436"/>
      <c r="AK53" s="437"/>
      <c r="AL53" s="438"/>
      <c r="AM53" s="439"/>
      <c r="AN53" s="439"/>
      <c r="AO53" s="440"/>
    </row>
    <row r="54" spans="1:41" ht="18.75" x14ac:dyDescent="0.3">
      <c r="B54" s="441" t="s">
        <v>61</v>
      </c>
      <c r="C54" s="442"/>
      <c r="D54" s="442"/>
      <c r="E54" s="442"/>
      <c r="F54" s="443"/>
      <c r="G54" s="444" t="s">
        <v>60</v>
      </c>
      <c r="H54" s="445" t="s">
        <v>60</v>
      </c>
      <c r="I54" s="445" t="s">
        <v>60</v>
      </c>
      <c r="J54" s="445" t="s">
        <v>60</v>
      </c>
      <c r="K54" s="445" t="s">
        <v>60</v>
      </c>
      <c r="L54" s="445" t="s">
        <v>60</v>
      </c>
      <c r="M54" s="445" t="s">
        <v>60</v>
      </c>
      <c r="N54" s="445" t="s">
        <v>60</v>
      </c>
      <c r="O54" s="445" t="s">
        <v>60</v>
      </c>
      <c r="P54" s="445" t="s">
        <v>60</v>
      </c>
      <c r="Q54" s="445" t="s">
        <v>60</v>
      </c>
      <c r="R54" s="445" t="s">
        <v>60</v>
      </c>
      <c r="S54" s="445" t="s">
        <v>60</v>
      </c>
      <c r="T54" s="445" t="s">
        <v>60</v>
      </c>
      <c r="U54" s="445"/>
      <c r="V54" s="445"/>
      <c r="W54" s="445"/>
      <c r="X54" s="445"/>
      <c r="Y54" s="445"/>
      <c r="Z54" s="445"/>
      <c r="AA54" s="445"/>
      <c r="AB54" s="445"/>
      <c r="AC54" s="445"/>
      <c r="AD54" s="445"/>
      <c r="AE54" s="445"/>
      <c r="AF54" s="445"/>
      <c r="AG54" s="445"/>
      <c r="AH54" s="445"/>
      <c r="AI54" s="445"/>
      <c r="AJ54" s="445"/>
      <c r="AK54" s="446"/>
      <c r="AL54" s="447"/>
      <c r="AM54" s="448"/>
      <c r="AN54" s="448"/>
      <c r="AO54" s="449"/>
    </row>
    <row r="55" spans="1:41" ht="19.5" thickBot="1" x14ac:dyDescent="0.35">
      <c r="B55" s="450" t="s">
        <v>62</v>
      </c>
      <c r="C55" s="451"/>
      <c r="D55" s="451"/>
      <c r="E55" s="451"/>
      <c r="F55" s="452"/>
      <c r="G55" s="453" t="s">
        <v>60</v>
      </c>
      <c r="H55" s="454" t="s">
        <v>60</v>
      </c>
      <c r="I55" s="454" t="s">
        <v>60</v>
      </c>
      <c r="J55" s="454" t="s">
        <v>60</v>
      </c>
      <c r="K55" s="454" t="s">
        <v>60</v>
      </c>
      <c r="L55" s="454" t="s">
        <v>60</v>
      </c>
      <c r="M55" s="454" t="s">
        <v>60</v>
      </c>
      <c r="N55" s="454" t="s">
        <v>60</v>
      </c>
      <c r="O55" s="454" t="s">
        <v>60</v>
      </c>
      <c r="P55" s="454" t="s">
        <v>60</v>
      </c>
      <c r="Q55" s="454" t="s">
        <v>60</v>
      </c>
      <c r="R55" s="454" t="s">
        <v>60</v>
      </c>
      <c r="S55" s="454" t="s">
        <v>60</v>
      </c>
      <c r="T55" s="454" t="s">
        <v>60</v>
      </c>
      <c r="U55" s="454"/>
      <c r="V55" s="454"/>
      <c r="W55" s="454"/>
      <c r="X55" s="454"/>
      <c r="Y55" s="454"/>
      <c r="Z55" s="454"/>
      <c r="AA55" s="454"/>
      <c r="AB55" s="454"/>
      <c r="AC55" s="454"/>
      <c r="AD55" s="454"/>
      <c r="AE55" s="454"/>
      <c r="AF55" s="454"/>
      <c r="AG55" s="454"/>
      <c r="AH55" s="454"/>
      <c r="AI55" s="454"/>
      <c r="AJ55" s="454"/>
      <c r="AK55" s="455"/>
      <c r="AL55" s="456"/>
      <c r="AM55" s="457"/>
      <c r="AN55" s="457"/>
      <c r="AO55" s="458"/>
    </row>
    <row r="56" spans="1:41" ht="16.5" thickTop="1" thickBot="1" x14ac:dyDescent="0.3"/>
    <row r="57" spans="1:41" x14ac:dyDescent="0.25">
      <c r="E57" s="431"/>
      <c r="F57" s="352"/>
      <c r="G57" s="459"/>
      <c r="H57" s="459"/>
      <c r="I57" s="459"/>
      <c r="J57" s="459"/>
      <c r="K57" s="459"/>
      <c r="L57" s="459"/>
      <c r="M57" s="459"/>
      <c r="N57" s="459"/>
      <c r="O57" s="459"/>
      <c r="P57" s="459"/>
      <c r="Q57" s="459"/>
      <c r="R57" s="459"/>
      <c r="S57" s="459"/>
      <c r="T57" s="459"/>
      <c r="U57" s="459"/>
      <c r="V57" s="459"/>
      <c r="W57" s="459"/>
      <c r="X57" s="459"/>
      <c r="Y57" s="459"/>
      <c r="Z57" s="459"/>
      <c r="AA57" s="459"/>
      <c r="AB57" s="459"/>
      <c r="AC57" s="459"/>
      <c r="AD57" s="459"/>
      <c r="AE57" s="459"/>
      <c r="AF57" s="459"/>
      <c r="AG57" s="459"/>
      <c r="AH57" s="459"/>
      <c r="AI57" s="459"/>
      <c r="AJ57" s="459"/>
      <c r="AK57" s="459"/>
      <c r="AL57" s="460" t="s">
        <v>63</v>
      </c>
      <c r="AM57" s="461"/>
      <c r="AN57" s="462"/>
      <c r="AO57" s="463">
        <f>+MAX(AO24:AO48)</f>
        <v>4</v>
      </c>
    </row>
    <row r="58" spans="1:41" ht="15.75" thickBot="1" x14ac:dyDescent="0.3">
      <c r="A58" s="431"/>
      <c r="B58" s="431"/>
      <c r="C58" s="431"/>
      <c r="D58" s="431"/>
      <c r="E58" s="431"/>
      <c r="F58" s="352"/>
      <c r="G58" s="459"/>
      <c r="H58" s="459"/>
      <c r="I58" s="459"/>
      <c r="J58" s="459"/>
      <c r="K58" s="459"/>
      <c r="L58" s="459"/>
      <c r="M58" s="459"/>
      <c r="N58" s="459"/>
      <c r="O58" s="459"/>
      <c r="P58" s="459"/>
      <c r="Q58" s="459"/>
      <c r="R58" s="459"/>
      <c r="S58" s="459"/>
      <c r="T58" s="459"/>
      <c r="U58" s="459"/>
      <c r="V58" s="459"/>
      <c r="W58" s="459"/>
      <c r="X58" s="459"/>
      <c r="Y58" s="459"/>
      <c r="Z58" s="459"/>
      <c r="AA58" s="459"/>
      <c r="AB58" s="459"/>
      <c r="AC58" s="459"/>
      <c r="AD58" s="459"/>
      <c r="AE58" s="459"/>
      <c r="AF58" s="459"/>
      <c r="AG58" s="459"/>
      <c r="AH58" s="459"/>
      <c r="AI58" s="459"/>
      <c r="AJ58" s="459"/>
      <c r="AK58" s="459"/>
      <c r="AL58" s="464" t="s">
        <v>64</v>
      </c>
      <c r="AM58" s="465"/>
      <c r="AN58" s="466"/>
      <c r="AO58" s="467">
        <f>MIN(AO24:AO48)</f>
        <v>1</v>
      </c>
    </row>
    <row r="59" spans="1:41" ht="16.5" thickTop="1" thickBot="1" x14ac:dyDescent="0.3">
      <c r="A59" s="468"/>
      <c r="B59" s="468"/>
      <c r="C59" s="468"/>
      <c r="D59" s="468"/>
      <c r="E59" s="468"/>
      <c r="F59" s="373"/>
      <c r="G59" s="469" t="str">
        <f t="shared" ref="G59:AK59" si="6">+G22</f>
        <v>lun</v>
      </c>
      <c r="H59" s="470" t="str">
        <f t="shared" si="6"/>
        <v>mar</v>
      </c>
      <c r="I59" s="470" t="str">
        <f t="shared" si="6"/>
        <v>mer</v>
      </c>
      <c r="J59" s="470" t="str">
        <f t="shared" si="6"/>
        <v>jeu</v>
      </c>
      <c r="K59" s="470" t="str">
        <f t="shared" si="6"/>
        <v>ven</v>
      </c>
      <c r="L59" s="470" t="str">
        <f t="shared" si="6"/>
        <v>sam</v>
      </c>
      <c r="M59" s="470" t="str">
        <f t="shared" si="6"/>
        <v>dim</v>
      </c>
      <c r="N59" s="470" t="str">
        <f t="shared" si="6"/>
        <v>lun</v>
      </c>
      <c r="O59" s="470" t="str">
        <f t="shared" si="6"/>
        <v>mar</v>
      </c>
      <c r="P59" s="470" t="str">
        <f t="shared" si="6"/>
        <v>mer</v>
      </c>
      <c r="Q59" s="470" t="str">
        <f t="shared" si="6"/>
        <v>jeu</v>
      </c>
      <c r="R59" s="470" t="str">
        <f t="shared" si="6"/>
        <v>ven</v>
      </c>
      <c r="S59" s="470" t="str">
        <f t="shared" si="6"/>
        <v>sam</v>
      </c>
      <c r="T59" s="471" t="str">
        <f t="shared" si="6"/>
        <v>dim</v>
      </c>
      <c r="U59" s="470" t="str">
        <f t="shared" si="6"/>
        <v>lun</v>
      </c>
      <c r="V59" s="470" t="str">
        <f t="shared" si="6"/>
        <v>mar</v>
      </c>
      <c r="W59" s="470" t="str">
        <f t="shared" si="6"/>
        <v>mer</v>
      </c>
      <c r="X59" s="470" t="str">
        <f t="shared" si="6"/>
        <v>jeu</v>
      </c>
      <c r="Y59" s="470" t="str">
        <f t="shared" si="6"/>
        <v>ven</v>
      </c>
      <c r="Z59" s="470" t="str">
        <f t="shared" si="6"/>
        <v>sam</v>
      </c>
      <c r="AA59" s="470" t="str">
        <f t="shared" si="6"/>
        <v>dim</v>
      </c>
      <c r="AB59" s="470" t="str">
        <f t="shared" si="6"/>
        <v>lun</v>
      </c>
      <c r="AC59" s="470" t="str">
        <f t="shared" si="6"/>
        <v>mar</v>
      </c>
      <c r="AD59" s="470" t="str">
        <f t="shared" si="6"/>
        <v>mer</v>
      </c>
      <c r="AE59" s="470" t="str">
        <f t="shared" si="6"/>
        <v>jeu</v>
      </c>
      <c r="AF59" s="470" t="str">
        <f t="shared" si="6"/>
        <v>ven</v>
      </c>
      <c r="AG59" s="470" t="str">
        <f t="shared" si="6"/>
        <v>sam</v>
      </c>
      <c r="AH59" s="470" t="str">
        <f t="shared" si="6"/>
        <v>dim</v>
      </c>
      <c r="AI59" s="470" t="str">
        <f t="shared" si="6"/>
        <v>lun</v>
      </c>
      <c r="AJ59" s="470" t="str">
        <f t="shared" si="6"/>
        <v>mar</v>
      </c>
      <c r="AK59" s="471" t="str">
        <f t="shared" si="6"/>
        <v>mer</v>
      </c>
      <c r="AL59" s="472"/>
      <c r="AM59" s="472"/>
      <c r="AN59" s="472"/>
      <c r="AO59" s="472"/>
    </row>
    <row r="60" spans="1:41" ht="15.75" thickTop="1" x14ac:dyDescent="0.25">
      <c r="A60" s="184" t="s">
        <v>65</v>
      </c>
      <c r="B60" s="185"/>
      <c r="C60" s="185"/>
      <c r="D60" s="185"/>
      <c r="E60" s="186"/>
      <c r="F60" s="473">
        <v>0.29166666666666669</v>
      </c>
      <c r="G60" s="188">
        <f>SUM(COUNTIFS(G$24:G$48,{"7:00";"9:00"}))</f>
        <v>6</v>
      </c>
      <c r="H60" s="189">
        <f>SUM(COUNTIFS(H$24:H$48,{"7:00";"9:00"}))</f>
        <v>6</v>
      </c>
      <c r="I60" s="189">
        <f>SUM(COUNTIFS(I$24:I$48,{"7:00";"9:00"}))</f>
        <v>5</v>
      </c>
      <c r="J60" s="189">
        <f>SUM(COUNTIFS(J$24:J$48,{"7:00";"9:00"}))</f>
        <v>5</v>
      </c>
      <c r="K60" s="189">
        <f>SUM(COUNTIFS(K$24:K$48,{"7:00";"9:00"}))</f>
        <v>5</v>
      </c>
      <c r="L60" s="189">
        <f>SUM(COUNTIFS(L$24:L$48,{"7:00";"9:00"}))</f>
        <v>4</v>
      </c>
      <c r="M60" s="189">
        <f>SUM(COUNTIFS(M$24:M$48,{"7:00";"9:00"}))</f>
        <v>3</v>
      </c>
      <c r="N60" s="189">
        <f>SUM(COUNTIFS(N$24:N$48,{"7:00";"9:00"}))</f>
        <v>7</v>
      </c>
      <c r="O60" s="189">
        <f>SUM(COUNTIFS(O$24:O$48,{"7:00";"9:00"}))</f>
        <v>7</v>
      </c>
      <c r="P60" s="189">
        <f>SUM(COUNTIFS(P$24:P$48,{"7:00";"9:00"}))</f>
        <v>6</v>
      </c>
      <c r="Q60" s="189">
        <f>SUM(COUNTIFS(Q$24:Q$48,{"7:00";"9:00"}))</f>
        <v>7</v>
      </c>
      <c r="R60" s="189">
        <f>SUM(COUNTIFS(R$24:R$48,{"7:00";"9:00"}))</f>
        <v>6</v>
      </c>
      <c r="S60" s="189">
        <f>SUM(COUNTIFS(S$24:S$48,{"7:00";"9:00"}))</f>
        <v>5</v>
      </c>
      <c r="T60" s="190">
        <f>SUM(COUNTIFS(T$24:T$48,{"7:00";"9:00"}))</f>
        <v>3</v>
      </c>
      <c r="U60" s="188">
        <f>SUM(COUNTIFS(U$24:U$48,{"7:00";"9:00"}))</f>
        <v>10</v>
      </c>
      <c r="V60" s="189">
        <f>SUM(COUNTIFS(V$24:V$48,{"7:00";"9:00"}))</f>
        <v>10</v>
      </c>
      <c r="W60" s="189">
        <f>SUM(COUNTIFS(W$24:W$48,{"7:00";"9:00"}))</f>
        <v>10</v>
      </c>
      <c r="X60" s="189">
        <f>SUM(COUNTIFS(X$24:X$48,{"7:00";"9:00"}))</f>
        <v>10</v>
      </c>
      <c r="Y60" s="189">
        <f>SUM(COUNTIFS(Y$24:Y$48,{"7:00";"9:00"}))</f>
        <v>10</v>
      </c>
      <c r="Z60" s="189">
        <f>SUM(COUNTIFS(Z$24:Z$48,{"7:00";"9:00"}))</f>
        <v>10</v>
      </c>
      <c r="AA60" s="189">
        <f>SUM(COUNTIFS(AA$24:AA$48,{"7:00";"9:00"}))</f>
        <v>10</v>
      </c>
      <c r="AB60" s="189">
        <f>SUM(COUNTIFS(AB$24:AB$48,{"7:00";"9:00"}))</f>
        <v>10</v>
      </c>
      <c r="AC60" s="189">
        <f>SUM(COUNTIFS(AC$24:AC$48,{"7:00";"9:00"}))</f>
        <v>10</v>
      </c>
      <c r="AD60" s="189">
        <f>SUM(COUNTIFS(AD$24:AD$48,{"7:00";"9:00"}))</f>
        <v>10</v>
      </c>
      <c r="AE60" s="189">
        <f>SUM(COUNTIFS(AE$24:AE$48,{"7:00";"9:00"}))</f>
        <v>10</v>
      </c>
      <c r="AF60" s="189">
        <f>SUM(COUNTIFS(AF$24:AF$48,{"7:00";"9:00"}))</f>
        <v>10</v>
      </c>
      <c r="AG60" s="189">
        <f>SUM(COUNTIFS(AG$24:AG$48,{"7:00";"9:00"}))</f>
        <v>10</v>
      </c>
      <c r="AH60" s="189">
        <f>SUM(COUNTIFS(AH$24:AH$48,{"7:00";"9:00"}))</f>
        <v>10</v>
      </c>
      <c r="AI60" s="189">
        <f>SUM(COUNTIFS(AI$24:AI$48,{"7:00";"9:00"}))</f>
        <v>10</v>
      </c>
      <c r="AJ60" s="189">
        <f>SUM(COUNTIFS(AJ$24:AJ$48,{"7:00";"9:00"}))</f>
        <v>10</v>
      </c>
      <c r="AK60" s="474">
        <f>SUM(COUNTIFS(AK$24:AK$48,{"7:00";"9:00"}))</f>
        <v>10</v>
      </c>
      <c r="AL60" s="475"/>
      <c r="AM60" s="472"/>
      <c r="AN60" s="472"/>
      <c r="AO60" s="472"/>
    </row>
    <row r="61" spans="1:41" x14ac:dyDescent="0.25">
      <c r="A61" s="191" t="s">
        <v>66</v>
      </c>
      <c r="B61" s="192"/>
      <c r="C61" s="192"/>
      <c r="D61" s="192"/>
      <c r="E61" s="193"/>
      <c r="F61" s="401">
        <v>0.5</v>
      </c>
      <c r="G61" s="194">
        <f>COUNTIF(G$24:G$38,"12:00")</f>
        <v>4</v>
      </c>
      <c r="H61" s="195">
        <f>COUNTIF(H$24:H$48,"12:00")</f>
        <v>4</v>
      </c>
      <c r="I61" s="195">
        <f t="shared" ref="I61:S61" si="7">COUNTIF(I$24:I$48,"12:00")</f>
        <v>4</v>
      </c>
      <c r="J61" s="195">
        <f t="shared" si="7"/>
        <v>4</v>
      </c>
      <c r="K61" s="195">
        <f t="shared" si="7"/>
        <v>3</v>
      </c>
      <c r="L61" s="195">
        <f t="shared" si="7"/>
        <v>4</v>
      </c>
      <c r="M61" s="195">
        <f t="shared" si="7"/>
        <v>3</v>
      </c>
      <c r="N61" s="195">
        <f t="shared" si="7"/>
        <v>5</v>
      </c>
      <c r="O61" s="195">
        <f t="shared" si="7"/>
        <v>5</v>
      </c>
      <c r="P61" s="195">
        <f t="shared" si="7"/>
        <v>5</v>
      </c>
      <c r="Q61" s="195">
        <f t="shared" si="7"/>
        <v>4</v>
      </c>
      <c r="R61" s="195">
        <f t="shared" si="7"/>
        <v>4</v>
      </c>
      <c r="S61" s="195">
        <f t="shared" si="7"/>
        <v>4</v>
      </c>
      <c r="T61" s="197">
        <f>COUNTIF(T$24:T$48,"12:00")</f>
        <v>3</v>
      </c>
      <c r="U61" s="194">
        <f>COUNTIF(U$24:U$48,"12:00")</f>
        <v>5</v>
      </c>
      <c r="V61" s="196">
        <f>COUNTIF(V$24:V$48,"12:00")</f>
        <v>5</v>
      </c>
      <c r="W61" s="196">
        <f t="shared" ref="W61:AK61" si="8">COUNTIF(W$24:W$48,"12:00")</f>
        <v>5</v>
      </c>
      <c r="X61" s="196">
        <f t="shared" si="8"/>
        <v>5</v>
      </c>
      <c r="Y61" s="196">
        <f t="shared" si="8"/>
        <v>5</v>
      </c>
      <c r="Z61" s="196">
        <f t="shared" si="8"/>
        <v>5</v>
      </c>
      <c r="AA61" s="196">
        <f t="shared" si="8"/>
        <v>5</v>
      </c>
      <c r="AB61" s="196">
        <f t="shared" si="8"/>
        <v>5</v>
      </c>
      <c r="AC61" s="196">
        <f t="shared" si="8"/>
        <v>5</v>
      </c>
      <c r="AD61" s="196">
        <f t="shared" si="8"/>
        <v>5</v>
      </c>
      <c r="AE61" s="196">
        <f t="shared" si="8"/>
        <v>5</v>
      </c>
      <c r="AF61" s="196">
        <f t="shared" si="8"/>
        <v>5</v>
      </c>
      <c r="AG61" s="196">
        <f t="shared" si="8"/>
        <v>5</v>
      </c>
      <c r="AH61" s="196">
        <f t="shared" si="8"/>
        <v>5</v>
      </c>
      <c r="AI61" s="196">
        <f t="shared" si="8"/>
        <v>5</v>
      </c>
      <c r="AJ61" s="196">
        <f t="shared" si="8"/>
        <v>5</v>
      </c>
      <c r="AK61" s="195">
        <f t="shared" si="8"/>
        <v>5</v>
      </c>
      <c r="AL61" s="475"/>
      <c r="AM61" s="472"/>
      <c r="AN61" s="472"/>
      <c r="AO61" s="472"/>
    </row>
    <row r="62" spans="1:41" x14ac:dyDescent="0.25">
      <c r="A62" s="198" t="s">
        <v>67</v>
      </c>
      <c r="B62" s="199"/>
      <c r="C62" s="199"/>
      <c r="D62" s="199"/>
      <c r="E62" s="200"/>
      <c r="F62" s="476" t="s">
        <v>68</v>
      </c>
      <c r="G62" s="202">
        <f t="shared" ref="G62:AK62" si="9">COUNTIF(G$24:G$48,"O*")</f>
        <v>2</v>
      </c>
      <c r="H62" s="196">
        <f t="shared" si="9"/>
        <v>2</v>
      </c>
      <c r="I62" s="196">
        <f t="shared" si="9"/>
        <v>3</v>
      </c>
      <c r="J62" s="196">
        <f t="shared" si="9"/>
        <v>3</v>
      </c>
      <c r="K62" s="196">
        <f t="shared" si="9"/>
        <v>4</v>
      </c>
      <c r="L62" s="196">
        <f t="shared" si="9"/>
        <v>4</v>
      </c>
      <c r="M62" s="196">
        <f t="shared" si="9"/>
        <v>6</v>
      </c>
      <c r="N62" s="196">
        <f t="shared" si="9"/>
        <v>2</v>
      </c>
      <c r="O62" s="196">
        <f t="shared" si="9"/>
        <v>2</v>
      </c>
      <c r="P62" s="196">
        <f t="shared" si="9"/>
        <v>3</v>
      </c>
      <c r="Q62" s="196">
        <f t="shared" si="9"/>
        <v>3</v>
      </c>
      <c r="R62" s="196">
        <f t="shared" si="9"/>
        <v>4</v>
      </c>
      <c r="S62" s="196">
        <f>COUNTIF(S$24:S$48,"O*")</f>
        <v>5</v>
      </c>
      <c r="T62" s="203">
        <f>COUNTIF(T$24:T$48,"O*")</f>
        <v>8</v>
      </c>
      <c r="U62" s="202">
        <f t="shared" si="9"/>
        <v>0</v>
      </c>
      <c r="V62" s="196">
        <f t="shared" si="9"/>
        <v>0</v>
      </c>
      <c r="W62" s="196">
        <f t="shared" si="9"/>
        <v>0</v>
      </c>
      <c r="X62" s="196">
        <f t="shared" si="9"/>
        <v>0</v>
      </c>
      <c r="Y62" s="196">
        <f t="shared" si="9"/>
        <v>0</v>
      </c>
      <c r="Z62" s="196">
        <f t="shared" si="9"/>
        <v>0</v>
      </c>
      <c r="AA62" s="196">
        <f t="shared" si="9"/>
        <v>0</v>
      </c>
      <c r="AB62" s="196">
        <f t="shared" si="9"/>
        <v>0</v>
      </c>
      <c r="AC62" s="196">
        <f t="shared" si="9"/>
        <v>0</v>
      </c>
      <c r="AD62" s="196">
        <f t="shared" si="9"/>
        <v>0</v>
      </c>
      <c r="AE62" s="196">
        <f t="shared" si="9"/>
        <v>0</v>
      </c>
      <c r="AF62" s="196">
        <f t="shared" si="9"/>
        <v>0</v>
      </c>
      <c r="AG62" s="196">
        <f t="shared" si="9"/>
        <v>0</v>
      </c>
      <c r="AH62" s="196">
        <f t="shared" si="9"/>
        <v>0</v>
      </c>
      <c r="AI62" s="196">
        <f t="shared" si="9"/>
        <v>0</v>
      </c>
      <c r="AJ62" s="196">
        <f t="shared" si="9"/>
        <v>0</v>
      </c>
      <c r="AK62" s="203">
        <f t="shared" si="9"/>
        <v>0</v>
      </c>
      <c r="AL62" s="472"/>
      <c r="AM62" s="472"/>
      <c r="AN62" s="472"/>
      <c r="AO62" s="472"/>
    </row>
    <row r="63" spans="1:41" ht="15.75" thickBot="1" x14ac:dyDescent="0.3">
      <c r="A63" s="204" t="s">
        <v>69</v>
      </c>
      <c r="B63" s="205" t="s">
        <v>70</v>
      </c>
      <c r="C63" s="205"/>
      <c r="D63" s="205"/>
      <c r="E63" s="206"/>
      <c r="F63" s="477" t="s">
        <v>53</v>
      </c>
      <c r="G63" s="208">
        <f t="shared" ref="G63:AK63" si="10">COUNTIF(G$24:G$48,"C*")</f>
        <v>2</v>
      </c>
      <c r="H63" s="209">
        <f t="shared" si="10"/>
        <v>2</v>
      </c>
      <c r="I63" s="209">
        <f t="shared" si="10"/>
        <v>2</v>
      </c>
      <c r="J63" s="209">
        <f t="shared" si="10"/>
        <v>2</v>
      </c>
      <c r="K63" s="209">
        <f t="shared" si="10"/>
        <v>2</v>
      </c>
      <c r="L63" s="209">
        <f t="shared" si="10"/>
        <v>2</v>
      </c>
      <c r="M63" s="209">
        <f t="shared" si="10"/>
        <v>2</v>
      </c>
      <c r="N63" s="209">
        <f t="shared" si="10"/>
        <v>1</v>
      </c>
      <c r="O63" s="209">
        <f t="shared" si="10"/>
        <v>1</v>
      </c>
      <c r="P63" s="209">
        <f t="shared" si="10"/>
        <v>1</v>
      </c>
      <c r="Q63" s="209">
        <f t="shared" si="10"/>
        <v>1</v>
      </c>
      <c r="R63" s="209">
        <f t="shared" si="10"/>
        <v>1</v>
      </c>
      <c r="S63" s="209">
        <f t="shared" si="10"/>
        <v>1</v>
      </c>
      <c r="T63" s="210">
        <f t="shared" si="10"/>
        <v>1</v>
      </c>
      <c r="U63" s="208">
        <f t="shared" si="10"/>
        <v>0</v>
      </c>
      <c r="V63" s="209">
        <f t="shared" si="10"/>
        <v>0</v>
      </c>
      <c r="W63" s="209">
        <f t="shared" si="10"/>
        <v>0</v>
      </c>
      <c r="X63" s="209">
        <f t="shared" si="10"/>
        <v>0</v>
      </c>
      <c r="Y63" s="209">
        <f t="shared" si="10"/>
        <v>0</v>
      </c>
      <c r="Z63" s="209">
        <f t="shared" si="10"/>
        <v>0</v>
      </c>
      <c r="AA63" s="209">
        <f t="shared" si="10"/>
        <v>0</v>
      </c>
      <c r="AB63" s="209">
        <f t="shared" si="10"/>
        <v>0</v>
      </c>
      <c r="AC63" s="209">
        <f t="shared" si="10"/>
        <v>0</v>
      </c>
      <c r="AD63" s="209">
        <f t="shared" si="10"/>
        <v>0</v>
      </c>
      <c r="AE63" s="209">
        <f t="shared" si="10"/>
        <v>0</v>
      </c>
      <c r="AF63" s="209">
        <f t="shared" si="10"/>
        <v>0</v>
      </c>
      <c r="AG63" s="209">
        <f t="shared" si="10"/>
        <v>0</v>
      </c>
      <c r="AH63" s="209">
        <f t="shared" si="10"/>
        <v>0</v>
      </c>
      <c r="AI63" s="209">
        <f t="shared" si="10"/>
        <v>0</v>
      </c>
      <c r="AJ63" s="209">
        <f t="shared" si="10"/>
        <v>0</v>
      </c>
      <c r="AK63" s="210">
        <f t="shared" si="10"/>
        <v>0</v>
      </c>
      <c r="AL63" s="472"/>
      <c r="AM63" s="472"/>
      <c r="AN63" s="472"/>
      <c r="AO63" s="472"/>
    </row>
    <row r="64" spans="1:41" x14ac:dyDescent="0.25">
      <c r="A64" s="211" t="s">
        <v>71</v>
      </c>
      <c r="B64" s="212"/>
      <c r="C64" s="212"/>
      <c r="D64" s="212"/>
      <c r="E64" s="213"/>
      <c r="F64" s="214"/>
      <c r="G64" s="215">
        <v>10.766561946396372</v>
      </c>
      <c r="H64" s="216">
        <v>10.360384260409695</v>
      </c>
      <c r="I64" s="216">
        <v>9.7094846448475369</v>
      </c>
      <c r="J64" s="216">
        <v>10.129767749626875</v>
      </c>
      <c r="K64" s="216">
        <v>10.455816838757986</v>
      </c>
      <c r="L64" s="216">
        <v>9.1920535390466807</v>
      </c>
      <c r="M64" s="216">
        <v>3.9965614299707317</v>
      </c>
      <c r="N64" s="216">
        <v>11.231935093952336</v>
      </c>
      <c r="O64" s="216">
        <v>10.808200811056103</v>
      </c>
      <c r="P64" s="216">
        <v>10.129166754402606</v>
      </c>
      <c r="Q64" s="216">
        <v>10.567616147762235</v>
      </c>
      <c r="R64" s="216">
        <v>10.907758360735674</v>
      </c>
      <c r="S64" s="216">
        <v>9.5893702413762352</v>
      </c>
      <c r="T64" s="217">
        <v>4.1693085317220708</v>
      </c>
      <c r="U64" s="218"/>
      <c r="V64" s="216"/>
      <c r="W64" s="216"/>
      <c r="X64" s="216"/>
      <c r="Y64" s="216"/>
      <c r="Z64" s="216"/>
      <c r="AA64" s="216"/>
      <c r="AB64" s="216"/>
      <c r="AC64" s="216"/>
      <c r="AD64" s="216"/>
      <c r="AE64" s="216"/>
      <c r="AF64" s="216"/>
      <c r="AG64" s="216"/>
      <c r="AH64" s="216"/>
      <c r="AI64" s="216"/>
      <c r="AJ64" s="216"/>
      <c r="AK64" s="217"/>
      <c r="AL64" s="472"/>
      <c r="AM64" s="472"/>
      <c r="AN64" s="472"/>
      <c r="AO64" s="472"/>
    </row>
    <row r="65" spans="1:41" x14ac:dyDescent="0.25">
      <c r="A65" s="219" t="s">
        <v>72</v>
      </c>
      <c r="B65" s="220"/>
      <c r="C65" s="220"/>
      <c r="D65" s="220"/>
      <c r="E65" s="221"/>
      <c r="F65" s="222"/>
      <c r="G65" s="223">
        <v>8.738201975046854</v>
      </c>
      <c r="H65" s="224">
        <v>8.6013342137993316</v>
      </c>
      <c r="I65" s="224">
        <v>8.8063523632382097</v>
      </c>
      <c r="J65" s="224">
        <v>8.3030712767514672</v>
      </c>
      <c r="K65" s="224">
        <v>8.5707674077453593</v>
      </c>
      <c r="L65" s="224">
        <v>7.1643621213745314</v>
      </c>
      <c r="M65" s="224">
        <v>3.5562207520046791</v>
      </c>
      <c r="N65" s="224">
        <v>9.1104984364074291</v>
      </c>
      <c r="O65" s="224">
        <v>8.9677147122770631</v>
      </c>
      <c r="P65" s="224">
        <v>9.1815945523824212</v>
      </c>
      <c r="Q65" s="224">
        <v>8.6565596781508276</v>
      </c>
      <c r="R65" s="224">
        <v>8.9358266886594091</v>
      </c>
      <c r="S65" s="224">
        <v>7.4686310350277667</v>
      </c>
      <c r="T65" s="225">
        <v>3.7045316064138905</v>
      </c>
      <c r="U65" s="226"/>
      <c r="V65" s="224"/>
      <c r="W65" s="224"/>
      <c r="X65" s="224"/>
      <c r="Y65" s="224"/>
      <c r="Z65" s="224"/>
      <c r="AA65" s="224"/>
      <c r="AB65" s="224"/>
      <c r="AC65" s="224"/>
      <c r="AD65" s="224"/>
      <c r="AE65" s="224"/>
      <c r="AF65" s="224"/>
      <c r="AG65" s="224"/>
      <c r="AH65" s="224"/>
      <c r="AI65" s="224"/>
      <c r="AJ65" s="224"/>
      <c r="AK65" s="225"/>
      <c r="AL65" s="472"/>
      <c r="AM65" s="472"/>
      <c r="AN65" s="472"/>
      <c r="AO65" s="472"/>
    </row>
    <row r="66" spans="1:41" ht="15.75" thickBot="1" x14ac:dyDescent="0.3">
      <c r="A66" s="227" t="s">
        <v>73</v>
      </c>
      <c r="B66" s="228"/>
      <c r="C66" s="228"/>
      <c r="D66" s="228"/>
      <c r="E66" s="229"/>
      <c r="F66" s="230"/>
      <c r="G66" s="231">
        <f>SUM(G64:G65)</f>
        <v>19.504763921443228</v>
      </c>
      <c r="H66" s="232">
        <f t="shared" ref="H66:AK66" si="11">SUM(H64:H65)</f>
        <v>18.961718474209029</v>
      </c>
      <c r="I66" s="232">
        <f t="shared" si="11"/>
        <v>18.515837008085747</v>
      </c>
      <c r="J66" s="232">
        <f>SUM(J64:J65)</f>
        <v>18.432839026378343</v>
      </c>
      <c r="K66" s="232">
        <f t="shared" si="11"/>
        <v>19.026584246503347</v>
      </c>
      <c r="L66" s="232">
        <f t="shared" si="11"/>
        <v>16.356415660421213</v>
      </c>
      <c r="M66" s="232">
        <f t="shared" si="11"/>
        <v>7.5527821819754113</v>
      </c>
      <c r="N66" s="232">
        <f>SUM(N64:N65)</f>
        <v>20.342433530359763</v>
      </c>
      <c r="O66" s="232">
        <f t="shared" si="11"/>
        <v>19.775915523333168</v>
      </c>
      <c r="P66" s="232">
        <f t="shared" si="11"/>
        <v>19.310761306785025</v>
      </c>
      <c r="Q66" s="232">
        <f t="shared" si="11"/>
        <v>19.224175825913065</v>
      </c>
      <c r="R66" s="232">
        <f t="shared" si="11"/>
        <v>19.843585049395081</v>
      </c>
      <c r="S66" s="232">
        <f t="shared" si="11"/>
        <v>17.058001276404003</v>
      </c>
      <c r="T66" s="233">
        <f t="shared" si="11"/>
        <v>7.8738401381359608</v>
      </c>
      <c r="U66" s="234">
        <f t="shared" si="11"/>
        <v>0</v>
      </c>
      <c r="V66" s="232">
        <f t="shared" si="11"/>
        <v>0</v>
      </c>
      <c r="W66" s="232">
        <f t="shared" si="11"/>
        <v>0</v>
      </c>
      <c r="X66" s="232">
        <f t="shared" si="11"/>
        <v>0</v>
      </c>
      <c r="Y66" s="232">
        <f t="shared" si="11"/>
        <v>0</v>
      </c>
      <c r="Z66" s="232">
        <f t="shared" si="11"/>
        <v>0</v>
      </c>
      <c r="AA66" s="232">
        <f t="shared" si="11"/>
        <v>0</v>
      </c>
      <c r="AB66" s="232">
        <f t="shared" si="11"/>
        <v>0</v>
      </c>
      <c r="AC66" s="232">
        <f t="shared" si="11"/>
        <v>0</v>
      </c>
      <c r="AD66" s="232">
        <f t="shared" si="11"/>
        <v>0</v>
      </c>
      <c r="AE66" s="232">
        <f t="shared" si="11"/>
        <v>0</v>
      </c>
      <c r="AF66" s="232">
        <f t="shared" si="11"/>
        <v>0</v>
      </c>
      <c r="AG66" s="232">
        <f t="shared" si="11"/>
        <v>0</v>
      </c>
      <c r="AH66" s="232">
        <f t="shared" si="11"/>
        <v>0</v>
      </c>
      <c r="AI66" s="232">
        <f t="shared" si="11"/>
        <v>0</v>
      </c>
      <c r="AJ66" s="232">
        <f t="shared" si="11"/>
        <v>0</v>
      </c>
      <c r="AK66" s="233">
        <f t="shared" si="11"/>
        <v>0</v>
      </c>
      <c r="AL66" s="472"/>
      <c r="AM66" s="472"/>
      <c r="AN66" s="472"/>
      <c r="AO66" s="472"/>
    </row>
    <row r="67" spans="1:41" x14ac:dyDescent="0.25">
      <c r="A67" s="235" t="s">
        <v>74</v>
      </c>
      <c r="B67" s="236"/>
      <c r="C67" s="236"/>
      <c r="D67" s="236"/>
      <c r="E67" s="237"/>
      <c r="F67" s="238"/>
      <c r="G67" s="239">
        <f>SUM(G60:G61)</f>
        <v>10</v>
      </c>
      <c r="H67" s="240">
        <f t="shared" ref="H67:AK67" si="12">SUM(H60:H61)</f>
        <v>10</v>
      </c>
      <c r="I67" s="240">
        <f t="shared" si="12"/>
        <v>9</v>
      </c>
      <c r="J67" s="240">
        <f t="shared" si="12"/>
        <v>9</v>
      </c>
      <c r="K67" s="240">
        <f t="shared" si="12"/>
        <v>8</v>
      </c>
      <c r="L67" s="240">
        <f t="shared" si="12"/>
        <v>8</v>
      </c>
      <c r="M67" s="240">
        <f t="shared" si="12"/>
        <v>6</v>
      </c>
      <c r="N67" s="240">
        <f t="shared" si="12"/>
        <v>12</v>
      </c>
      <c r="O67" s="240">
        <f t="shared" si="12"/>
        <v>12</v>
      </c>
      <c r="P67" s="240">
        <f t="shared" si="12"/>
        <v>11</v>
      </c>
      <c r="Q67" s="240">
        <f t="shared" si="12"/>
        <v>11</v>
      </c>
      <c r="R67" s="240">
        <f t="shared" si="12"/>
        <v>10</v>
      </c>
      <c r="S67" s="240">
        <f t="shared" si="12"/>
        <v>9</v>
      </c>
      <c r="T67" s="241">
        <f t="shared" si="12"/>
        <v>6</v>
      </c>
      <c r="U67" s="242">
        <f t="shared" si="12"/>
        <v>15</v>
      </c>
      <c r="V67" s="240">
        <f t="shared" si="12"/>
        <v>15</v>
      </c>
      <c r="W67" s="240">
        <f t="shared" si="12"/>
        <v>15</v>
      </c>
      <c r="X67" s="240">
        <f t="shared" si="12"/>
        <v>15</v>
      </c>
      <c r="Y67" s="240">
        <f t="shared" si="12"/>
        <v>15</v>
      </c>
      <c r="Z67" s="240">
        <f t="shared" si="12"/>
        <v>15</v>
      </c>
      <c r="AA67" s="240">
        <f t="shared" si="12"/>
        <v>15</v>
      </c>
      <c r="AB67" s="240">
        <f t="shared" si="12"/>
        <v>15</v>
      </c>
      <c r="AC67" s="240">
        <f t="shared" si="12"/>
        <v>15</v>
      </c>
      <c r="AD67" s="240">
        <f t="shared" si="12"/>
        <v>15</v>
      </c>
      <c r="AE67" s="240">
        <f t="shared" si="12"/>
        <v>15</v>
      </c>
      <c r="AF67" s="240">
        <f t="shared" si="12"/>
        <v>15</v>
      </c>
      <c r="AG67" s="240">
        <f t="shared" si="12"/>
        <v>15</v>
      </c>
      <c r="AH67" s="240">
        <f t="shared" si="12"/>
        <v>15</v>
      </c>
      <c r="AI67" s="240">
        <f t="shared" si="12"/>
        <v>15</v>
      </c>
      <c r="AJ67" s="240">
        <f t="shared" si="12"/>
        <v>15</v>
      </c>
      <c r="AK67" s="241">
        <f t="shared" si="12"/>
        <v>15</v>
      </c>
      <c r="AL67" s="472"/>
      <c r="AM67" s="472"/>
      <c r="AN67" s="472"/>
      <c r="AO67" s="472"/>
    </row>
    <row r="68" spans="1:41" x14ac:dyDescent="0.25">
      <c r="A68" s="191" t="s">
        <v>75</v>
      </c>
      <c r="B68" s="192"/>
      <c r="C68" s="192"/>
      <c r="D68" s="192"/>
      <c r="E68" s="193"/>
      <c r="F68" s="243"/>
      <c r="G68" s="244">
        <f>-G67+G66</f>
        <v>9.504763921443228</v>
      </c>
      <c r="H68" s="245">
        <f t="shared" ref="H68:AK68" si="13">-H67+H66</f>
        <v>8.9617184742090288</v>
      </c>
      <c r="I68" s="245">
        <f t="shared" si="13"/>
        <v>9.5158370080857466</v>
      </c>
      <c r="J68" s="245">
        <f t="shared" si="13"/>
        <v>9.4328390263783426</v>
      </c>
      <c r="K68" s="245">
        <f t="shared" si="13"/>
        <v>11.026584246503347</v>
      </c>
      <c r="L68" s="245">
        <f t="shared" si="13"/>
        <v>8.356415660421213</v>
      </c>
      <c r="M68" s="245">
        <f t="shared" si="13"/>
        <v>1.5527821819754113</v>
      </c>
      <c r="N68" s="245">
        <f t="shared" si="13"/>
        <v>8.342433530359763</v>
      </c>
      <c r="O68" s="245">
        <f t="shared" si="13"/>
        <v>7.7759155233331683</v>
      </c>
      <c r="P68" s="245">
        <f t="shared" si="13"/>
        <v>8.3107613067850252</v>
      </c>
      <c r="Q68" s="245">
        <f t="shared" si="13"/>
        <v>8.2241758259130648</v>
      </c>
      <c r="R68" s="245">
        <f t="shared" si="13"/>
        <v>9.8435850493950809</v>
      </c>
      <c r="S68" s="245">
        <f t="shared" si="13"/>
        <v>8.0580012764040028</v>
      </c>
      <c r="T68" s="246">
        <f t="shared" si="13"/>
        <v>1.8738401381359608</v>
      </c>
      <c r="U68" s="247">
        <f t="shared" si="13"/>
        <v>-15</v>
      </c>
      <c r="V68" s="245">
        <f t="shared" si="13"/>
        <v>-15</v>
      </c>
      <c r="W68" s="245">
        <f t="shared" si="13"/>
        <v>-15</v>
      </c>
      <c r="X68" s="245">
        <f t="shared" si="13"/>
        <v>-15</v>
      </c>
      <c r="Y68" s="245">
        <f t="shared" si="13"/>
        <v>-15</v>
      </c>
      <c r="Z68" s="245">
        <f t="shared" si="13"/>
        <v>-15</v>
      </c>
      <c r="AA68" s="245">
        <f t="shared" si="13"/>
        <v>-15</v>
      </c>
      <c r="AB68" s="245">
        <f t="shared" si="13"/>
        <v>-15</v>
      </c>
      <c r="AC68" s="245">
        <f t="shared" si="13"/>
        <v>-15</v>
      </c>
      <c r="AD68" s="245">
        <f t="shared" si="13"/>
        <v>-15</v>
      </c>
      <c r="AE68" s="245">
        <f t="shared" si="13"/>
        <v>-15</v>
      </c>
      <c r="AF68" s="245">
        <f t="shared" si="13"/>
        <v>-15</v>
      </c>
      <c r="AG68" s="245">
        <f t="shared" si="13"/>
        <v>-15</v>
      </c>
      <c r="AH68" s="245">
        <f t="shared" si="13"/>
        <v>-15</v>
      </c>
      <c r="AI68" s="245">
        <f t="shared" si="13"/>
        <v>-15</v>
      </c>
      <c r="AJ68" s="245">
        <f t="shared" si="13"/>
        <v>-15</v>
      </c>
      <c r="AK68" s="246">
        <f t="shared" si="13"/>
        <v>-15</v>
      </c>
      <c r="AL68" s="472"/>
      <c r="AM68" s="472"/>
      <c r="AN68" s="472"/>
      <c r="AO68" s="472"/>
    </row>
    <row r="69" spans="1:41" ht="15.75" thickBot="1" x14ac:dyDescent="0.3">
      <c r="A69" s="248" t="s">
        <v>76</v>
      </c>
      <c r="B69" s="249"/>
      <c r="C69" s="249"/>
      <c r="D69" s="249"/>
      <c r="E69" s="250"/>
      <c r="F69" s="251"/>
      <c r="G69" s="252">
        <f t="shared" ref="G69:AK69" si="14">COUNTA($B$24:$B$36)</f>
        <v>13</v>
      </c>
      <c r="H69" s="253">
        <f t="shared" si="14"/>
        <v>13</v>
      </c>
      <c r="I69" s="253">
        <f t="shared" si="14"/>
        <v>13</v>
      </c>
      <c r="J69" s="253">
        <f t="shared" si="14"/>
        <v>13</v>
      </c>
      <c r="K69" s="253">
        <f t="shared" si="14"/>
        <v>13</v>
      </c>
      <c r="L69" s="253">
        <f t="shared" si="14"/>
        <v>13</v>
      </c>
      <c r="M69" s="253">
        <f t="shared" si="14"/>
        <v>13</v>
      </c>
      <c r="N69" s="253">
        <f t="shared" si="14"/>
        <v>13</v>
      </c>
      <c r="O69" s="253">
        <f t="shared" si="14"/>
        <v>13</v>
      </c>
      <c r="P69" s="253">
        <f t="shared" si="14"/>
        <v>13</v>
      </c>
      <c r="Q69" s="253">
        <f t="shared" si="14"/>
        <v>13</v>
      </c>
      <c r="R69" s="253">
        <f t="shared" si="14"/>
        <v>13</v>
      </c>
      <c r="S69" s="253">
        <f t="shared" si="14"/>
        <v>13</v>
      </c>
      <c r="T69" s="254">
        <f t="shared" si="14"/>
        <v>13</v>
      </c>
      <c r="U69" s="255">
        <f t="shared" si="14"/>
        <v>13</v>
      </c>
      <c r="V69" s="253">
        <f t="shared" si="14"/>
        <v>13</v>
      </c>
      <c r="W69" s="253">
        <f t="shared" si="14"/>
        <v>13</v>
      </c>
      <c r="X69" s="253">
        <f t="shared" si="14"/>
        <v>13</v>
      </c>
      <c r="Y69" s="253">
        <f t="shared" si="14"/>
        <v>13</v>
      </c>
      <c r="Z69" s="253">
        <f t="shared" si="14"/>
        <v>13</v>
      </c>
      <c r="AA69" s="253">
        <f t="shared" si="14"/>
        <v>13</v>
      </c>
      <c r="AB69" s="253">
        <f t="shared" si="14"/>
        <v>13</v>
      </c>
      <c r="AC69" s="253">
        <f t="shared" si="14"/>
        <v>13</v>
      </c>
      <c r="AD69" s="253">
        <f t="shared" si="14"/>
        <v>13</v>
      </c>
      <c r="AE69" s="253">
        <f t="shared" si="14"/>
        <v>13</v>
      </c>
      <c r="AF69" s="253">
        <f t="shared" si="14"/>
        <v>13</v>
      </c>
      <c r="AG69" s="253">
        <f t="shared" si="14"/>
        <v>13</v>
      </c>
      <c r="AH69" s="253">
        <f t="shared" si="14"/>
        <v>13</v>
      </c>
      <c r="AI69" s="253">
        <f t="shared" si="14"/>
        <v>13</v>
      </c>
      <c r="AJ69" s="253">
        <f t="shared" si="14"/>
        <v>13</v>
      </c>
      <c r="AK69" s="254">
        <f t="shared" si="14"/>
        <v>13</v>
      </c>
      <c r="AL69" s="472"/>
      <c r="AM69" s="472"/>
      <c r="AN69" s="472"/>
      <c r="AO69" s="472"/>
    </row>
    <row r="70" spans="1:41" ht="15.75" thickTop="1" x14ac:dyDescent="0.25"/>
  </sheetData>
  <sheetProtection formatColumns="0"/>
  <mergeCells count="16">
    <mergeCell ref="A20:F22"/>
    <mergeCell ref="AL20:AO22"/>
    <mergeCell ref="AL57:AM57"/>
    <mergeCell ref="AL58:AM58"/>
    <mergeCell ref="AA15:AB15"/>
    <mergeCell ref="AC15:AE15"/>
    <mergeCell ref="AF15:AH15"/>
    <mergeCell ref="G17:U18"/>
    <mergeCell ref="V17:AC18"/>
    <mergeCell ref="AD17:AI18"/>
    <mergeCell ref="A13:F15"/>
    <mergeCell ref="K14:L14"/>
    <mergeCell ref="Y14:Z14"/>
    <mergeCell ref="M15:N15"/>
    <mergeCell ref="O15:Q15"/>
    <mergeCell ref="R15:T15"/>
  </mergeCells>
  <conditionalFormatting sqref="AL59:AO69 G57:AK58">
    <cfRule type="expression" dxfId="35" priority="34">
      <formula>LEFT(G57,1)="O"</formula>
    </cfRule>
    <cfRule type="expression" dxfId="34" priority="35">
      <formula>LEFT(G57,1)="A"</formula>
    </cfRule>
    <cfRule type="expression" dxfId="33" priority="36">
      <formula>LEFT(G57,1)="M"</formula>
    </cfRule>
  </conditionalFormatting>
  <conditionalFormatting sqref="G24:AK32 G33:T34 K35:T38 U33:AK38">
    <cfRule type="cellIs" dxfId="32" priority="20" operator="equal">
      <formula>0.5</formula>
    </cfRule>
    <cfRule type="cellIs" dxfId="31" priority="21" operator="equal">
      <formula>0.375</formula>
    </cfRule>
    <cfRule type="cellIs" dxfId="30" priority="28" operator="equal">
      <formula>"C"</formula>
    </cfRule>
    <cfRule type="expression" dxfId="29" priority="31">
      <formula>LEFT(G24,1)="O"</formula>
    </cfRule>
    <cfRule type="expression" dxfId="28" priority="32">
      <formula>LEFT(G24,1)="A"</formula>
    </cfRule>
    <cfRule type="expression" dxfId="27" priority="33">
      <formula>LEFT(G24,1)="F*"</formula>
    </cfRule>
  </conditionalFormatting>
  <conditionalFormatting sqref="G24:AK32 G39:AK48 G33:T34 K35:T38 U33:AK38">
    <cfRule type="cellIs" dxfId="26" priority="29" operator="equal">
      <formula>0.583333333333333</formula>
    </cfRule>
    <cfRule type="cellIs" dxfId="25" priority="30" operator="equal">
      <formula>0.291666666666667</formula>
    </cfRule>
  </conditionalFormatting>
  <conditionalFormatting sqref="F62:F63">
    <cfRule type="cellIs" dxfId="24" priority="22" operator="equal">
      <formula>"C"</formula>
    </cfRule>
    <cfRule type="expression" dxfId="23" priority="25">
      <formula>LEFT(F62,1)="O"</formula>
    </cfRule>
    <cfRule type="expression" dxfId="22" priority="26">
      <formula>LEFT(F62,1)="A"</formula>
    </cfRule>
    <cfRule type="expression" dxfId="21" priority="27">
      <formula>LEFT(F62,1)="F"</formula>
    </cfRule>
  </conditionalFormatting>
  <conditionalFormatting sqref="F62:F63">
    <cfRule type="cellIs" dxfId="20" priority="23" operator="equal">
      <formula>0.583333333333333</formula>
    </cfRule>
    <cfRule type="cellIs" dxfId="19" priority="24" operator="equal">
      <formula>0.291666666666667</formula>
    </cfRule>
  </conditionalFormatting>
  <conditionalFormatting sqref="G24:AK32 G33:T34 K35:T38 U33:AK38">
    <cfRule type="cellIs" dxfId="18" priority="19" operator="equal">
      <formula>"Fran"</formula>
    </cfRule>
  </conditionalFormatting>
  <conditionalFormatting sqref="F61">
    <cfRule type="cellIs" dxfId="17" priority="11" operator="equal">
      <formula>0.5</formula>
    </cfRule>
    <cfRule type="cellIs" dxfId="16" priority="12" operator="equal">
      <formula>0.375</formula>
    </cfRule>
    <cfRule type="cellIs" dxfId="15" priority="13" operator="equal">
      <formula>"C"</formula>
    </cfRule>
    <cfRule type="expression" dxfId="14" priority="16">
      <formula>LEFT(F61,1)="O"</formula>
    </cfRule>
    <cfRule type="expression" dxfId="13" priority="17">
      <formula>LEFT(F61,1)="A"</formula>
    </cfRule>
    <cfRule type="expression" dxfId="12" priority="18">
      <formula>LEFT(F61,1)="F*"</formula>
    </cfRule>
  </conditionalFormatting>
  <conditionalFormatting sqref="F61">
    <cfRule type="cellIs" dxfId="11" priority="14" operator="equal">
      <formula>0.583333333333333</formula>
    </cfRule>
    <cfRule type="cellIs" dxfId="10" priority="15" operator="equal">
      <formula>0.291666666666667</formula>
    </cfRule>
  </conditionalFormatting>
  <conditionalFormatting sqref="F61">
    <cfRule type="cellIs" dxfId="9" priority="10" operator="equal">
      <formula>"Fran"</formula>
    </cfRule>
  </conditionalFormatting>
  <conditionalFormatting sqref="G33:J38">
    <cfRule type="cellIs" dxfId="8" priority="2" operator="equal">
      <formula>0.5</formula>
    </cfRule>
    <cfRule type="cellIs" dxfId="7" priority="3" operator="equal">
      <formula>0.375</formula>
    </cfRule>
    <cfRule type="cellIs" dxfId="6" priority="4" operator="equal">
      <formula>"C"</formula>
    </cfRule>
    <cfRule type="expression" dxfId="5" priority="7">
      <formula>LEFT(G33,1)="O"</formula>
    </cfRule>
    <cfRule type="expression" dxfId="4" priority="8">
      <formula>LEFT(G33,1)="A"</formula>
    </cfRule>
    <cfRule type="expression" dxfId="3" priority="9">
      <formula>LEFT(G33,1)="F*"</formula>
    </cfRule>
  </conditionalFormatting>
  <conditionalFormatting sqref="G33:J38">
    <cfRule type="cellIs" dxfId="2" priority="5" operator="equal">
      <formula>0.583333333333333</formula>
    </cfRule>
    <cfRule type="cellIs" dxfId="1" priority="6" operator="equal">
      <formula>0.291666666666667</formula>
    </cfRule>
  </conditionalFormatting>
  <conditionalFormatting sqref="G33:J38">
    <cfRule type="cellIs" dxfId="0" priority="1" operator="equal">
      <formula>"Fran"</formula>
    </cfRule>
  </conditionalFormatting>
  <dataValidations count="4">
    <dataValidation type="list" allowBlank="1" showInputMessage="1" showErrorMessage="1" sqref="F57:F58">
      <formula1>Settings_Shift</formula1>
    </dataValidation>
    <dataValidation type="list" allowBlank="1" showInputMessage="1" showErrorMessage="1" sqref="V17">
      <formula1>Mois_</formula1>
    </dataValidation>
    <dataValidation type="list" allowBlank="1" showInputMessage="1" showErrorMessage="1" sqref="AD17">
      <formula1>Année_</formula1>
    </dataValidation>
    <dataValidation type="list" allowBlank="1" showInputMessage="1" showErrorMessage="1" sqref="F59 F64">
      <formula1>Settings_ShiftLegends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3">
              <controlPr defaultSize="0" print="0" autoFill="0" autoPict="0" macro="[5]!ereduire_lignecolone" altText="un_zoom">
                <anchor>
                  <from>
                    <xdr:col>1</xdr:col>
                    <xdr:colOff>676275</xdr:colOff>
                    <xdr:row>0</xdr:row>
                    <xdr:rowOff>95250</xdr:rowOff>
                  </from>
                  <to>
                    <xdr:col>1</xdr:col>
                    <xdr:colOff>1543050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4">
              <controlPr defaultSize="0" print="0" autoFill="0" autoPict="0" macro="[5]!elargir_lignecolone" altText="zoom">
                <anchor>
                  <from>
                    <xdr:col>0</xdr:col>
                    <xdr:colOff>85725</xdr:colOff>
                    <xdr:row>0</xdr:row>
                    <xdr:rowOff>95250</xdr:rowOff>
                  </from>
                  <to>
                    <xdr:col>1</xdr:col>
                    <xdr:colOff>695325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'C:\Users\atchaneyou\Desktop\Plannings\119\[Planning_Hebdo_119.xlsx]Settings'!#REF!</xm:f>
          </x14:formula1>
          <xm:sqref>E57:E58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Prévisions</vt:lpstr>
      <vt:lpstr>Planning-</vt:lpstr>
      <vt:lpstr>Planning</vt:lpstr>
    </vt:vector>
  </TitlesOfParts>
  <Company>SEMA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Atchareou Joseph TCHANEYOU(EXT-TOGOINTERIM)</dc:creator>
  <cp:lastModifiedBy>Atchareou Joseph TCHANEYOU(EXT-TOGOINTERIM)</cp:lastModifiedBy>
  <dcterms:created xsi:type="dcterms:W3CDTF">2022-10-27T16:07:11Z</dcterms:created>
  <dcterms:modified xsi:type="dcterms:W3CDTF">2022-11-03T14:49:46Z</dcterms:modified>
</cp:coreProperties>
</file>